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31e40cc6beaed5/Documents/"/>
    </mc:Choice>
  </mc:AlternateContent>
  <xr:revisionPtr revIDLastSave="375" documentId="8_{1418C664-EB06-4576-BB74-A05B3D422476}" xr6:coauthVersionLast="47" xr6:coauthVersionMax="47" xr10:uidLastSave="{EAB9D220-08C9-446D-BE3B-4A1BF2D681E7}"/>
  <bookViews>
    <workbookView xWindow="-108" yWindow="-108" windowWidth="23256" windowHeight="12456" xr2:uid="{C985DEA9-38A4-42E2-9327-B43FD77552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6" i="1"/>
  <c r="D2" i="1"/>
  <c r="L2" i="1" l="1"/>
  <c r="K2" i="1"/>
</calcChain>
</file>

<file path=xl/sharedStrings.xml><?xml version="1.0" encoding="utf-8"?>
<sst xmlns="http://schemas.openxmlformats.org/spreadsheetml/2006/main" count="185" uniqueCount="146">
  <si>
    <t>Part Name / Description</t>
  </si>
  <si>
    <t>Qty</t>
  </si>
  <si>
    <t>Total Cost</t>
  </si>
  <si>
    <t>Unit Cost</t>
  </si>
  <si>
    <t>Manufacturer</t>
  </si>
  <si>
    <t>Manufacturer #</t>
  </si>
  <si>
    <t>Supplier</t>
  </si>
  <si>
    <t>Vendor Link</t>
  </si>
  <si>
    <t>Datasheet Link</t>
  </si>
  <si>
    <t>Schematic Reference Designators</t>
  </si>
  <si>
    <t>Barrel Jack Connector</t>
  </si>
  <si>
    <t>PJ-102AH</t>
  </si>
  <si>
    <t>J1</t>
  </si>
  <si>
    <t>LM2575D2T-3.3R4G</t>
  </si>
  <si>
    <t>3.3V Switching Voltage Regulator</t>
  </si>
  <si>
    <t>U1</t>
  </si>
  <si>
    <t>ESP32 Microcontroller</t>
  </si>
  <si>
    <t>ESP32-S3-WROOM-1-N4</t>
  </si>
  <si>
    <t>U2</t>
  </si>
  <si>
    <t>GME12864-17</t>
  </si>
  <si>
    <t>U12</t>
  </si>
  <si>
    <t>OLED Screen</t>
  </si>
  <si>
    <t>12mm Pushbutton</t>
  </si>
  <si>
    <t>TL3300CF160Q</t>
  </si>
  <si>
    <t>U5, U6, U7, U8, U9, U10, U11</t>
  </si>
  <si>
    <t>3mm Pushbutton</t>
  </si>
  <si>
    <t>B3U-1000P</t>
  </si>
  <si>
    <t>U3, U4, U13</t>
  </si>
  <si>
    <t>USB Micro B Receptacle</t>
  </si>
  <si>
    <t>USB3131-30-0230-A</t>
  </si>
  <si>
    <t>Red LED</t>
  </si>
  <si>
    <t>CMD17-21VRD/TR8</t>
  </si>
  <si>
    <t>D4</t>
  </si>
  <si>
    <t>Green LED</t>
  </si>
  <si>
    <t>CMD17-21VGD/TR8</t>
  </si>
  <si>
    <t>D2</t>
  </si>
  <si>
    <t>Blue LED</t>
  </si>
  <si>
    <t>QBLP653-IB5-2897</t>
  </si>
  <si>
    <t>D3</t>
  </si>
  <si>
    <t>EEE-FTH101XAP</t>
  </si>
  <si>
    <t>C1</t>
  </si>
  <si>
    <t>EEE-FK1E331P</t>
  </si>
  <si>
    <t>C2</t>
  </si>
  <si>
    <t>GRM21BR61E226ME44K</t>
  </si>
  <si>
    <t>C4</t>
  </si>
  <si>
    <t>22uF, 25V Ceramic Capacitor</t>
  </si>
  <si>
    <t>C6</t>
  </si>
  <si>
    <t>C3, C5, C7, C8, C9, C10, C11, C12, C13, C14, C15, C16, C17</t>
  </si>
  <si>
    <t>100, 1/4W Resistor</t>
  </si>
  <si>
    <t>RC1206JR-10100RL</t>
  </si>
  <si>
    <t>R11</t>
  </si>
  <si>
    <t>RC1206FR-07330RL</t>
  </si>
  <si>
    <t>330, 1/4W Resistor</t>
  </si>
  <si>
    <t>R1, R13</t>
  </si>
  <si>
    <t>10k, 1/4W Resistor</t>
  </si>
  <si>
    <t>RMCF1206JG10K0</t>
  </si>
  <si>
    <t>R2, R3, R4, R5, R6, R7, R8, R9, R10, R12</t>
  </si>
  <si>
    <t>220uH, 1.38A, 380mOhm Inductor</t>
  </si>
  <si>
    <t>100uF, 50V Electrolytic Capacitor</t>
  </si>
  <si>
    <t>330uF, 25V Electrolytic Capacitor</t>
  </si>
  <si>
    <t>SRR1260-221K</t>
  </si>
  <si>
    <t>L1</t>
  </si>
  <si>
    <t>40V, 3A Schottky Diode</t>
  </si>
  <si>
    <t>SS34</t>
  </si>
  <si>
    <t>D1</t>
  </si>
  <si>
    <t>Cartridge Fuse Holder 5x20mm</t>
  </si>
  <si>
    <t>F1</t>
  </si>
  <si>
    <t>n/a</t>
  </si>
  <si>
    <t>40 Pin Male Header Connector</t>
  </si>
  <si>
    <t>Peralta</t>
  </si>
  <si>
    <t>2-pin Female Jumper Connector</t>
  </si>
  <si>
    <t>Sum Cost</t>
  </si>
  <si>
    <t>Same Sky</t>
  </si>
  <si>
    <t>DigiKey</t>
  </si>
  <si>
    <t>[Link](https://www.digikey.com/en/products/detail/same-sky-formerly-cui-devices/PJ-102AH/408448?s=N4IgTCBcDaIAoCkC0BGADGAggCRAXQF8g)</t>
  </si>
  <si>
    <t>[PDF](https://www.cuidevices.com/product/resource/pj-102ah.pdf)</t>
  </si>
  <si>
    <t>onsemi</t>
  </si>
  <si>
    <t>[Link](https://www.digikey.com/en/products/detail/onsemi/LM2575D2T-3-3R4G/1476688)</t>
  </si>
  <si>
    <t>[PDF](https://www.onsemi.com/pdf/datasheet/lm2575-d.pdf)</t>
  </si>
  <si>
    <t>Espressif Systems</t>
  </si>
  <si>
    <t>DigiKey, Peralta</t>
  </si>
  <si>
    <t>[Link](https://www.digikey.com/en/products/detail/espressif-systems/ESP32-S3-WROOM-1-N4/16162639)</t>
  </si>
  <si>
    <t>[PDF](https://www.espressif.com/sites/default/files/documentation/esp32-s3-wroom-1_wroom-1u_datasheet_en.pdf)</t>
  </si>
  <si>
    <t>GoldenMorning Electronic</t>
  </si>
  <si>
    <t>[PDF](https://goldenmorninglcd.com/oled-display-module/0.96-inch-128x64-ssd1306-gme12864-11/)</t>
  </si>
  <si>
    <t>E-Switch</t>
  </si>
  <si>
    <t>[Link](https://www.digikey.com/en/products/detail/e-switch/TL3300CF160Q/2498433)</t>
  </si>
  <si>
    <t>[PDF](https://configured-product-images.s3.amazonaws.com/Datasheets/TL3300.pdf)</t>
  </si>
  <si>
    <t>Omron Electronics Inc-EMC Div</t>
  </si>
  <si>
    <t>[Link](https://www.digikey.com/en/products/detail/omron-electronics-inc-emc-div/B3U-1000P/1534338)</t>
  </si>
  <si>
    <t>[PDF](https://omronfs.omron.com/en_US/ecb/products/pdf/en-b3u.pdf)</t>
  </si>
  <si>
    <t>GCT</t>
  </si>
  <si>
    <t>[Link](https://www.digikey.com/en/products/detail/gct/USB3131-30-0230-A/9859642)</t>
  </si>
  <si>
    <t>[PDF](https://gct.co/files/specs/usb3131-spec.pdf)</t>
  </si>
  <si>
    <t>Visual Communications Company - VCC</t>
  </si>
  <si>
    <t>[Link](https://www.digikey.com/en/products/detail/visual-communications-company-vcc/CMD17-21VRD-TR8/254853)</t>
  </si>
  <si>
    <t>[PDF](https://mm.digikey.com/Volume0/opasdata/d220001/medias/docus/4320/CMD17-21_Rev10.pdf)</t>
  </si>
  <si>
    <t>[Link](https://www.digikey.com/en/products/detail/visual-communications-company-vcc/CMD17-21VGD-TR8/254855)</t>
  </si>
  <si>
    <t>QT Brightek (QTB)</t>
  </si>
  <si>
    <t>[Link](https://www.digikey.com/en/products/detail/qt-brightek-qtb/QBLP653-IB5-2897/22106657)</t>
  </si>
  <si>
    <t>[PDF](https://www.qt-brightek.com/datasheet/QBLP653-IB5-2897.pdf)</t>
  </si>
  <si>
    <t>Panasonic Electronic Components</t>
  </si>
  <si>
    <t>[Link](https://www.digikey.com/en/products/detail/panasonic-electronic-components/EEE-FTH101XAP/2652055)</t>
  </si>
  <si>
    <t>[PDF](https://industrial.panasonic.com/cdbs/www-data/pdf/RDE0000/ABA0000C1240.pdf)</t>
  </si>
  <si>
    <t>[Link](https://www.digikey.com/en/products/detail/panasonic-electronic-components/EEE-FK1E331P/765972)</t>
  </si>
  <si>
    <t>[PDF](https://industrial.panasonic.com/cdbs/www-data/pdf/RDE0000/ABA0000C1181.pdf)</t>
  </si>
  <si>
    <t>Murata Electronics</t>
  </si>
  <si>
    <t>[Link](https://www.digikey.com/en/products/detail/murata-electronics/GRM21BR61E226ME44K/6606267)</t>
  </si>
  <si>
    <t>[PDF](https://search.murata.co.jp/Ceramy/image/img/A01X/G101/ENG/GRM21BR61E226ME44-01.pdf)</t>
  </si>
  <si>
    <t>YAGEO</t>
  </si>
  <si>
    <t>[Link](https://www.digikey.com/en/products/detail/yageo/RC1206JR-10100RL/13694487)</t>
  </si>
  <si>
    <t>[PDF](https://yageogroup.com/content/datasheet/asset/file/PYU-RC_GROUP_51_ROHS_L)</t>
  </si>
  <si>
    <t>[Link](https://www.digikey.com/en/products/detail/yageo/RC1206FR-07330RL/728822)</t>
  </si>
  <si>
    <t>Stackpole Electronics Inc</t>
  </si>
  <si>
    <t>[Link](https://www.digikey.com/en/products/detail/stackpole-electronics-inc/RMCF1206JG10K0/21720266)</t>
  </si>
  <si>
    <t>[PDF](https://www.seielect.com/catalog/SEI-RMCF_RMCP.pdf)</t>
  </si>
  <si>
    <t>Bourns Inc.</t>
  </si>
  <si>
    <t>[Link](https://www.digikey.com/en/products/detail/bourns-inc/SRR1260-221K/1969970)</t>
  </si>
  <si>
    <t>[PDF](https://www.bourns.com/docs/Product-Datasheets/SRR1260.pdf)</t>
  </si>
  <si>
    <t>[Link](https://www.digikey.com/en/products/detail/onsemi/ss34/1052384)</t>
  </si>
  <si>
    <t>[PDF](https://www.onsemi.com/download/data-sheet/pdf/ss39-d.pdf)</t>
  </si>
  <si>
    <t>Lystaii</t>
  </si>
  <si>
    <t>[Link](https://www.amazon.com/Header-Lystaii-Pin-Connector-Electronic/dp/B06ZZN8L9S/ref=sr_1_15?dchild=1&amp;keywords=40+pin+header+male+to+male&amp;qid=1608606507&amp;sr=8-15)</t>
  </si>
  <si>
    <t>Min Cost</t>
  </si>
  <si>
    <t>KEMET</t>
  </si>
  <si>
    <t>0.1uF, 50V Ceramic Capacitor</t>
  </si>
  <si>
    <t>C0805C104K5RACTU</t>
  </si>
  <si>
    <t>[Link](https://www.digikey.com/en/products/detail/kemet/C0805C104K5RACTU/411169?s=N4IgTCBcDaIMIAYAcCCscCMCAsBpVASgIJwAqAqiALoC%2BQA)</t>
  </si>
  <si>
    <t>[PDF](https://yageogroup.com/content/datasheet/asset/file/KEM_C1002_X7R_SMD)</t>
  </si>
  <si>
    <t>1uF, 25V Ceramic Capacitor</t>
  </si>
  <si>
    <t>C0805C105K3RACTU</t>
  </si>
  <si>
    <t>[Link](https://www.digikey.com/en/products/detail/kemet/C0805C105K3RACTU/2211765)</t>
  </si>
  <si>
    <t>J5</t>
  </si>
  <si>
    <t>Keystone Electronics</t>
  </si>
  <si>
    <t>Digikey, Peralta</t>
  </si>
  <si>
    <t>[Link](https://www.digikey.com/en/products/detail/keystone-electronics/4628/2137316)</t>
  </si>
  <si>
    <t>[PDF](https://www.keyelco.com/userAssets/file/K75p50.pdf)</t>
  </si>
  <si>
    <t>SCHURTER Inc.</t>
  </si>
  <si>
    <t>800mA Fuse 5x20mm</t>
  </si>
  <si>
    <t>[Link](https://www.digikey.com/en/products/detail/schurter-inc/0034-1515/639670)</t>
  </si>
  <si>
    <t>[PDF](https://www.schurter.com/en/datasheet/typ_FSF_5x20.pdf)</t>
  </si>
  <si>
    <t>J3, J4, J6, J7, J9, J11</t>
  </si>
  <si>
    <t>J2, J3, J4, J6, J7, J8, J9, J10, J11, J12</t>
  </si>
  <si>
    <t>40 Pin Female Header Connector</t>
  </si>
  <si>
    <t>[Link](https://www.amazon.com/Qunqi-2-54mm-Straight-Connector-Arduino/dp/B07CGGSDWF/ref=sr_1_17?dchild=1&amp;keywords=female+header+strips&amp;qid=1595380282&amp;sr=8-17)</t>
  </si>
  <si>
    <t>Qunqi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</si>
</sst>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164" fontId="2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44" fontId="2" fillId="0" borderId="1" xfId="1" applyFont="1" applyBorder="1" applyAlignment="1">
      <alignment horizontal="center" vertical="center"/>
    </xf>
    <xf numFmtId="44" fontId="0" fillId="0" borderId="0" xfId="1" applyFont="1"/>
    <xf numFmtId="164" fontId="0" fillId="0" borderId="0" xfId="1" applyNumberFormat="1" applyFont="1"/>
    <xf numFmtId="0" fontId="2" fillId="0" borderId="1" xfId="0" applyFont="1" applyBorder="1" applyAlignment="1">
      <alignment vertical="center"/>
    </xf>
    <xf numFmtId="164" fontId="2" fillId="0" borderId="0" xfId="0" applyNumberFormat="1" applyFont="1" applyAlignment="1">
      <alignment vertical="center"/>
    </xf>
    <xf numFmtId="0" fontId="0" fillId="0" borderId="0" xfId="0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A36D0-A1E8-48B9-85FF-D93458C76F46}">
  <dimension ref="A1:L26"/>
  <sheetViews>
    <sheetView tabSelected="1" workbookViewId="0">
      <selection activeCell="A2" sqref="A2"/>
    </sheetView>
  </sheetViews>
  <sheetFormatPr defaultRowHeight="14.4" x14ac:dyDescent="0.3"/>
  <cols>
    <col min="1" max="1" width="28.88671875" customWidth="1"/>
    <col min="2" max="2" width="6.44140625" customWidth="1"/>
    <col min="3" max="3" width="8.88671875" style="4"/>
    <col min="4" max="4" width="8.88671875" style="6"/>
    <col min="5" max="5" width="32.6640625" customWidth="1"/>
    <col min="6" max="6" width="20.77734375" customWidth="1"/>
    <col min="7" max="7" width="13.44140625" customWidth="1"/>
    <col min="8" max="8" width="12.6640625" customWidth="1"/>
    <col min="9" max="9" width="13.33203125" customWidth="1"/>
    <col min="10" max="10" width="49.21875" customWidth="1"/>
  </cols>
  <sheetData>
    <row r="1" spans="1:12" s="2" customFormat="1" ht="43.2" customHeight="1" x14ac:dyDescent="0.3">
      <c r="A1" s="1" t="s">
        <v>0</v>
      </c>
      <c r="B1" s="1" t="s">
        <v>1</v>
      </c>
      <c r="C1" s="3" t="s">
        <v>3</v>
      </c>
      <c r="D1" s="5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71</v>
      </c>
      <c r="L1" s="8" t="s">
        <v>123</v>
      </c>
    </row>
    <row r="2" spans="1:12" x14ac:dyDescent="0.3">
      <c r="A2" t="s">
        <v>10</v>
      </c>
      <c r="B2">
        <v>1</v>
      </c>
      <c r="C2" s="4">
        <v>0.71</v>
      </c>
      <c r="D2" s="7">
        <f>B2*C2</f>
        <v>0.71</v>
      </c>
      <c r="E2" t="s">
        <v>72</v>
      </c>
      <c r="F2" t="s">
        <v>11</v>
      </c>
      <c r="G2" t="s">
        <v>73</v>
      </c>
      <c r="H2" t="s">
        <v>74</v>
      </c>
      <c r="I2" t="s">
        <v>75</v>
      </c>
      <c r="J2" t="s">
        <v>12</v>
      </c>
      <c r="K2" s="9">
        <f>SUM(D2:D26)</f>
        <v>25.040000000000003</v>
      </c>
      <c r="L2" s="9">
        <f>SUM(D2:D26)-D4-D8-D2</f>
        <v>18.500000000000004</v>
      </c>
    </row>
    <row r="3" spans="1:12" x14ac:dyDescent="0.3">
      <c r="A3" t="s">
        <v>14</v>
      </c>
      <c r="B3">
        <v>1</v>
      </c>
      <c r="C3" s="4">
        <v>2.16</v>
      </c>
      <c r="D3" s="7">
        <f t="shared" ref="D3:D26" si="0">B3*C3</f>
        <v>2.16</v>
      </c>
      <c r="E3" t="s">
        <v>76</v>
      </c>
      <c r="F3" t="s">
        <v>13</v>
      </c>
      <c r="G3" t="s">
        <v>73</v>
      </c>
      <c r="H3" t="s">
        <v>77</v>
      </c>
      <c r="I3" t="s">
        <v>78</v>
      </c>
      <c r="J3" t="s">
        <v>15</v>
      </c>
    </row>
    <row r="4" spans="1:12" x14ac:dyDescent="0.3">
      <c r="A4" t="s">
        <v>16</v>
      </c>
      <c r="B4">
        <v>1</v>
      </c>
      <c r="C4" s="4">
        <v>5.0599999999999996</v>
      </c>
      <c r="D4" s="7">
        <f t="shared" si="0"/>
        <v>5.0599999999999996</v>
      </c>
      <c r="E4" t="s">
        <v>79</v>
      </c>
      <c r="F4" t="s">
        <v>17</v>
      </c>
      <c r="G4" t="s">
        <v>80</v>
      </c>
      <c r="H4" t="s">
        <v>81</v>
      </c>
      <c r="I4" t="s">
        <v>82</v>
      </c>
      <c r="J4" t="s">
        <v>18</v>
      </c>
    </row>
    <row r="5" spans="1:12" x14ac:dyDescent="0.3">
      <c r="A5" t="s">
        <v>21</v>
      </c>
      <c r="B5">
        <v>1</v>
      </c>
      <c r="C5" s="4">
        <v>0</v>
      </c>
      <c r="D5" s="7">
        <f t="shared" si="0"/>
        <v>0</v>
      </c>
      <c r="E5" t="s">
        <v>83</v>
      </c>
      <c r="F5" t="s">
        <v>19</v>
      </c>
      <c r="G5" t="s">
        <v>69</v>
      </c>
      <c r="H5" t="s">
        <v>67</v>
      </c>
      <c r="I5" t="s">
        <v>84</v>
      </c>
      <c r="J5" t="s">
        <v>20</v>
      </c>
    </row>
    <row r="6" spans="1:12" x14ac:dyDescent="0.3">
      <c r="A6" t="s">
        <v>22</v>
      </c>
      <c r="B6">
        <v>7</v>
      </c>
      <c r="C6" s="4">
        <v>0.6</v>
      </c>
      <c r="D6" s="7">
        <f t="shared" si="0"/>
        <v>4.2</v>
      </c>
      <c r="E6" t="s">
        <v>85</v>
      </c>
      <c r="F6" t="s">
        <v>23</v>
      </c>
      <c r="G6" t="s">
        <v>73</v>
      </c>
      <c r="H6" t="s">
        <v>86</v>
      </c>
      <c r="I6" t="s">
        <v>87</v>
      </c>
      <c r="J6" t="s">
        <v>24</v>
      </c>
    </row>
    <row r="7" spans="1:12" x14ac:dyDescent="0.3">
      <c r="A7" t="s">
        <v>25</v>
      </c>
      <c r="B7">
        <v>3</v>
      </c>
      <c r="C7" s="4">
        <v>0.9</v>
      </c>
      <c r="D7" s="7">
        <f t="shared" si="0"/>
        <v>2.7</v>
      </c>
      <c r="E7" t="s">
        <v>88</v>
      </c>
      <c r="F7" t="s">
        <v>26</v>
      </c>
      <c r="G7" t="s">
        <v>73</v>
      </c>
      <c r="H7" t="s">
        <v>89</v>
      </c>
      <c r="I7" t="s">
        <v>90</v>
      </c>
      <c r="J7" t="s">
        <v>27</v>
      </c>
    </row>
    <row r="8" spans="1:12" x14ac:dyDescent="0.3">
      <c r="A8" t="s">
        <v>28</v>
      </c>
      <c r="B8">
        <v>1</v>
      </c>
      <c r="C8" s="4">
        <v>0.77</v>
      </c>
      <c r="D8" s="7">
        <f t="shared" si="0"/>
        <v>0.77</v>
      </c>
      <c r="E8" t="s">
        <v>91</v>
      </c>
      <c r="F8" t="s">
        <v>29</v>
      </c>
      <c r="G8" t="s">
        <v>80</v>
      </c>
      <c r="H8" t="s">
        <v>92</v>
      </c>
      <c r="I8" t="s">
        <v>93</v>
      </c>
      <c r="J8" t="s">
        <v>132</v>
      </c>
    </row>
    <row r="9" spans="1:12" x14ac:dyDescent="0.3">
      <c r="A9" t="s">
        <v>30</v>
      </c>
      <c r="B9">
        <v>1</v>
      </c>
      <c r="C9" s="4">
        <v>0.71</v>
      </c>
      <c r="D9" s="7">
        <f t="shared" si="0"/>
        <v>0.71</v>
      </c>
      <c r="E9" t="s">
        <v>94</v>
      </c>
      <c r="F9" t="s">
        <v>31</v>
      </c>
      <c r="G9" t="s">
        <v>73</v>
      </c>
      <c r="H9" t="s">
        <v>95</v>
      </c>
      <c r="I9" t="s">
        <v>96</v>
      </c>
      <c r="J9" t="s">
        <v>32</v>
      </c>
    </row>
    <row r="10" spans="1:12" x14ac:dyDescent="0.3">
      <c r="A10" t="s">
        <v>33</v>
      </c>
      <c r="B10">
        <v>1</v>
      </c>
      <c r="C10" s="4">
        <v>0.67</v>
      </c>
      <c r="D10" s="7">
        <f t="shared" si="0"/>
        <v>0.67</v>
      </c>
      <c r="E10" t="s">
        <v>94</v>
      </c>
      <c r="F10" t="s">
        <v>34</v>
      </c>
      <c r="G10" t="s">
        <v>73</v>
      </c>
      <c r="H10" t="s">
        <v>97</v>
      </c>
      <c r="I10" t="s">
        <v>96</v>
      </c>
      <c r="J10" t="s">
        <v>35</v>
      </c>
    </row>
    <row r="11" spans="1:12" x14ac:dyDescent="0.3">
      <c r="A11" t="s">
        <v>36</v>
      </c>
      <c r="B11">
        <v>1</v>
      </c>
      <c r="C11" s="4">
        <v>0.45</v>
      </c>
      <c r="D11" s="7">
        <f t="shared" si="0"/>
        <v>0.45</v>
      </c>
      <c r="E11" t="s">
        <v>98</v>
      </c>
      <c r="F11" t="s">
        <v>37</v>
      </c>
      <c r="G11" t="s">
        <v>73</v>
      </c>
      <c r="H11" t="s">
        <v>99</v>
      </c>
      <c r="I11" t="s">
        <v>100</v>
      </c>
      <c r="J11" t="s">
        <v>38</v>
      </c>
    </row>
    <row r="12" spans="1:12" x14ac:dyDescent="0.3">
      <c r="A12" t="s">
        <v>58</v>
      </c>
      <c r="B12">
        <v>1</v>
      </c>
      <c r="C12" s="4">
        <v>0.93</v>
      </c>
      <c r="D12" s="7">
        <f t="shared" si="0"/>
        <v>0.93</v>
      </c>
      <c r="E12" t="s">
        <v>101</v>
      </c>
      <c r="F12" t="s">
        <v>39</v>
      </c>
      <c r="G12" t="s">
        <v>73</v>
      </c>
      <c r="H12" t="s">
        <v>102</v>
      </c>
      <c r="I12" t="s">
        <v>103</v>
      </c>
      <c r="J12" t="s">
        <v>40</v>
      </c>
    </row>
    <row r="13" spans="1:12" x14ac:dyDescent="0.3">
      <c r="A13" t="s">
        <v>59</v>
      </c>
      <c r="B13">
        <v>1</v>
      </c>
      <c r="C13" s="4">
        <v>0.85</v>
      </c>
      <c r="D13" s="7">
        <f t="shared" si="0"/>
        <v>0.85</v>
      </c>
      <c r="E13" t="s">
        <v>101</v>
      </c>
      <c r="F13" t="s">
        <v>41</v>
      </c>
      <c r="G13" t="s">
        <v>73</v>
      </c>
      <c r="H13" t="s">
        <v>104</v>
      </c>
      <c r="I13" t="s">
        <v>105</v>
      </c>
      <c r="J13" t="s">
        <v>42</v>
      </c>
    </row>
    <row r="14" spans="1:12" x14ac:dyDescent="0.3">
      <c r="A14" t="s">
        <v>45</v>
      </c>
      <c r="B14">
        <v>1</v>
      </c>
      <c r="C14" s="4">
        <v>0.33</v>
      </c>
      <c r="D14" s="7">
        <f t="shared" si="0"/>
        <v>0.33</v>
      </c>
      <c r="E14" t="s">
        <v>106</v>
      </c>
      <c r="F14" t="s">
        <v>43</v>
      </c>
      <c r="G14" t="s">
        <v>73</v>
      </c>
      <c r="H14" t="s">
        <v>107</v>
      </c>
      <c r="I14" t="s">
        <v>108</v>
      </c>
      <c r="J14" t="s">
        <v>44</v>
      </c>
    </row>
    <row r="15" spans="1:12" x14ac:dyDescent="0.3">
      <c r="A15" t="s">
        <v>129</v>
      </c>
      <c r="B15">
        <v>1</v>
      </c>
      <c r="C15" s="4">
        <v>0.12</v>
      </c>
      <c r="D15" s="7">
        <f t="shared" si="0"/>
        <v>0.12</v>
      </c>
      <c r="E15" t="s">
        <v>124</v>
      </c>
      <c r="F15" t="s">
        <v>130</v>
      </c>
      <c r="G15" t="s">
        <v>73</v>
      </c>
      <c r="H15" t="s">
        <v>131</v>
      </c>
      <c r="I15" t="s">
        <v>128</v>
      </c>
      <c r="J15" t="s">
        <v>46</v>
      </c>
    </row>
    <row r="16" spans="1:12" x14ac:dyDescent="0.3">
      <c r="A16" t="s">
        <v>125</v>
      </c>
      <c r="B16">
        <v>13</v>
      </c>
      <c r="C16" s="4">
        <v>0.08</v>
      </c>
      <c r="D16" s="7">
        <f t="shared" si="0"/>
        <v>1.04</v>
      </c>
      <c r="E16" t="s">
        <v>124</v>
      </c>
      <c r="F16" t="s">
        <v>126</v>
      </c>
      <c r="G16" t="s">
        <v>73</v>
      </c>
      <c r="H16" t="s">
        <v>127</v>
      </c>
      <c r="I16" t="s">
        <v>128</v>
      </c>
      <c r="J16" t="s">
        <v>47</v>
      </c>
    </row>
    <row r="17" spans="1:10" x14ac:dyDescent="0.3">
      <c r="A17" t="s">
        <v>48</v>
      </c>
      <c r="B17">
        <v>1</v>
      </c>
      <c r="C17" s="4">
        <v>0.1</v>
      </c>
      <c r="D17" s="7">
        <f t="shared" si="0"/>
        <v>0.1</v>
      </c>
      <c r="E17" t="s">
        <v>109</v>
      </c>
      <c r="F17" t="s">
        <v>49</v>
      </c>
      <c r="G17" t="s">
        <v>73</v>
      </c>
      <c r="H17" t="s">
        <v>110</v>
      </c>
      <c r="I17" t="s">
        <v>111</v>
      </c>
      <c r="J17" t="s">
        <v>50</v>
      </c>
    </row>
    <row r="18" spans="1:10" x14ac:dyDescent="0.3">
      <c r="A18" t="s">
        <v>52</v>
      </c>
      <c r="B18">
        <v>2</v>
      </c>
      <c r="C18" s="4">
        <v>0.11</v>
      </c>
      <c r="D18" s="7">
        <f t="shared" si="0"/>
        <v>0.22</v>
      </c>
      <c r="E18" t="s">
        <v>109</v>
      </c>
      <c r="F18" t="s">
        <v>51</v>
      </c>
      <c r="G18" t="s">
        <v>73</v>
      </c>
      <c r="H18" t="s">
        <v>112</v>
      </c>
      <c r="I18" t="s">
        <v>111</v>
      </c>
      <c r="J18" t="s">
        <v>53</v>
      </c>
    </row>
    <row r="19" spans="1:10" x14ac:dyDescent="0.3">
      <c r="A19" t="s">
        <v>54</v>
      </c>
      <c r="B19">
        <v>10</v>
      </c>
      <c r="C19" s="4">
        <v>0.1</v>
      </c>
      <c r="D19" s="7">
        <f t="shared" si="0"/>
        <v>1</v>
      </c>
      <c r="E19" t="s">
        <v>113</v>
      </c>
      <c r="F19" t="s">
        <v>55</v>
      </c>
      <c r="G19" t="s">
        <v>73</v>
      </c>
      <c r="H19" t="s">
        <v>114</v>
      </c>
      <c r="I19" t="s">
        <v>115</v>
      </c>
      <c r="J19" t="s">
        <v>56</v>
      </c>
    </row>
    <row r="20" spans="1:10" x14ac:dyDescent="0.3">
      <c r="A20" t="s">
        <v>57</v>
      </c>
      <c r="B20">
        <v>1</v>
      </c>
      <c r="C20" s="4">
        <v>1.01</v>
      </c>
      <c r="D20" s="7">
        <f t="shared" si="0"/>
        <v>1.01</v>
      </c>
      <c r="E20" t="s">
        <v>116</v>
      </c>
      <c r="F20" t="s">
        <v>60</v>
      </c>
      <c r="G20" t="s">
        <v>73</v>
      </c>
      <c r="H20" t="s">
        <v>117</v>
      </c>
      <c r="I20" t="s">
        <v>118</v>
      </c>
      <c r="J20" t="s">
        <v>61</v>
      </c>
    </row>
    <row r="21" spans="1:10" x14ac:dyDescent="0.3">
      <c r="A21" t="s">
        <v>62</v>
      </c>
      <c r="B21">
        <v>1</v>
      </c>
      <c r="C21" s="4">
        <v>0.69</v>
      </c>
      <c r="D21" s="7">
        <f t="shared" si="0"/>
        <v>0.69</v>
      </c>
      <c r="E21" t="s">
        <v>76</v>
      </c>
      <c r="F21" t="s">
        <v>63</v>
      </c>
      <c r="G21" t="s">
        <v>73</v>
      </c>
      <c r="H21" t="s">
        <v>119</v>
      </c>
      <c r="I21" t="s">
        <v>120</v>
      </c>
      <c r="J21" t="s">
        <v>64</v>
      </c>
    </row>
    <row r="22" spans="1:10" x14ac:dyDescent="0.3">
      <c r="A22" t="s">
        <v>138</v>
      </c>
      <c r="B22">
        <v>1</v>
      </c>
      <c r="C22" s="4">
        <v>0.56999999999999995</v>
      </c>
      <c r="D22" s="7">
        <f t="shared" si="0"/>
        <v>0.56999999999999995</v>
      </c>
      <c r="E22" t="s">
        <v>137</v>
      </c>
      <c r="F22" s="10">
        <v>34.151499999999999</v>
      </c>
      <c r="G22" t="s">
        <v>80</v>
      </c>
      <c r="H22" t="s">
        <v>139</v>
      </c>
      <c r="I22" t="s">
        <v>140</v>
      </c>
      <c r="J22" t="s">
        <v>66</v>
      </c>
    </row>
    <row r="23" spans="1:10" x14ac:dyDescent="0.3">
      <c r="A23" t="s">
        <v>65</v>
      </c>
      <c r="B23">
        <v>1</v>
      </c>
      <c r="C23" s="4">
        <v>0.75</v>
      </c>
      <c r="D23" s="7">
        <f t="shared" si="0"/>
        <v>0.75</v>
      </c>
      <c r="E23" t="s">
        <v>133</v>
      </c>
      <c r="F23" s="10">
        <v>4628</v>
      </c>
      <c r="G23" t="s">
        <v>134</v>
      </c>
      <c r="H23" t="s">
        <v>135</v>
      </c>
      <c r="I23" t="s">
        <v>136</v>
      </c>
      <c r="J23" t="s">
        <v>66</v>
      </c>
    </row>
    <row r="24" spans="1:10" x14ac:dyDescent="0.3">
      <c r="A24" t="s">
        <v>68</v>
      </c>
      <c r="B24">
        <v>1</v>
      </c>
      <c r="C24" s="4">
        <v>0</v>
      </c>
      <c r="D24" s="7">
        <f t="shared" si="0"/>
        <v>0</v>
      </c>
      <c r="E24" t="s">
        <v>121</v>
      </c>
      <c r="F24" t="s">
        <v>67</v>
      </c>
      <c r="G24" t="s">
        <v>69</v>
      </c>
      <c r="H24" t="s">
        <v>122</v>
      </c>
      <c r="I24" t="s">
        <v>67</v>
      </c>
      <c r="J24" t="s">
        <v>142</v>
      </c>
    </row>
    <row r="25" spans="1:10" x14ac:dyDescent="0.3">
      <c r="A25" t="s">
        <v>143</v>
      </c>
      <c r="B25">
        <v>1</v>
      </c>
      <c r="C25" s="4">
        <v>0</v>
      </c>
      <c r="D25" s="7">
        <f t="shared" si="0"/>
        <v>0</v>
      </c>
      <c r="E25" t="s">
        <v>145</v>
      </c>
      <c r="F25" t="s">
        <v>67</v>
      </c>
      <c r="G25" t="s">
        <v>69</v>
      </c>
      <c r="H25" t="s">
        <v>144</v>
      </c>
      <c r="I25" t="s">
        <v>67</v>
      </c>
      <c r="J25" t="s">
        <v>20</v>
      </c>
    </row>
    <row r="26" spans="1:10" x14ac:dyDescent="0.3">
      <c r="A26" t="s">
        <v>70</v>
      </c>
      <c r="B26">
        <v>4</v>
      </c>
      <c r="C26" s="4">
        <v>0</v>
      </c>
      <c r="D26" s="7">
        <f t="shared" si="0"/>
        <v>0</v>
      </c>
      <c r="E26" t="s">
        <v>67</v>
      </c>
      <c r="F26" t="s">
        <v>67</v>
      </c>
      <c r="G26" t="s">
        <v>69</v>
      </c>
      <c r="H26" t="s">
        <v>67</v>
      </c>
      <c r="I26" t="s">
        <v>67</v>
      </c>
      <c r="J26" t="s">
        <v>141</v>
      </c>
    </row>
  </sheetData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Alger</dc:creator>
  <cp:lastModifiedBy>Jacob Alger</cp:lastModifiedBy>
  <cp:lastPrinted>2026-03-07T00:14:03Z</cp:lastPrinted>
  <dcterms:created xsi:type="dcterms:W3CDTF">2026-03-03T16:55:34Z</dcterms:created>
  <dcterms:modified xsi:type="dcterms:W3CDTF">2026-03-07T00:14:29Z</dcterms:modified>
</cp:coreProperties>
</file>