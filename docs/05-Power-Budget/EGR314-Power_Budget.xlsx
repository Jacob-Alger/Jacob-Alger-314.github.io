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66" documentId="8_{78606173-F688-492F-A36F-4C67BB02F028}" xr6:coauthVersionLast="47" xr6:coauthVersionMax="47" xr10:uidLastSave="{EFB231FF-BFE9-4A7A-AA1F-62F631A9DFFB}"/>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 r="G39" i="1"/>
  <c r="G20" i="1"/>
  <c r="G14" i="1"/>
  <c r="G13" i="1"/>
  <c r="G46" i="1"/>
  <c r="G53" i="1" s="1"/>
  <c r="G54" i="1" s="1"/>
  <c r="G40" i="1"/>
  <c r="G41" i="1"/>
  <c r="G30" i="1"/>
  <c r="G24" i="1"/>
  <c r="G9" i="1"/>
  <c r="G8" i="1"/>
  <c r="G49" i="1" l="1"/>
  <c r="G26" i="1"/>
  <c r="G28" i="1" s="1"/>
  <c r="G16" i="1"/>
  <c r="G18" i="1" s="1"/>
  <c r="G21" i="1" s="1"/>
  <c r="G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<sst xmlns="http://schemas.openxmlformats.org/spreadsheetml/2006/main" count="141" uniqueCount="73">
  <si>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</si>
  <si>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</si>
  <si>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</si>
  <si>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</si>
  <si>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</si>
  <si>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</si>
  <si>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</si>
  <si>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</si>
  <si>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</si>
  <si>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</si>
  <si>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</si>
  <si>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</si>
  <si>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</si>
  <si>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</si>
  <si>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</si>
  <si>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(range)</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</si>
  <si>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</si>
  <si>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</si>
  <si>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</si>
  <si>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</si>
  <si>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c2. Regulator or Source Choice</t>
  </si>
  <si>
    <t xml:space="preserve"> -5V Regulator</t>
  </si>
  <si>
    <t xml:space="preserve"> +3.3V Power Rail</t>
  </si>
  <si>
    <t>Total Current Required on +3.3V Rail</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</si>
  <si>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</si>
  <si>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</si>
  <si>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</si>
  <si>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</si>
  <si>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</si>
  <si>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</si>
  <si>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</si>
  <si>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</si>
  <si>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</si>
  <si>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</si>
  <si>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External Power Source 2</t>
  </si>
  <si>
    <t>Power Source 2 Selection</t>
  </si>
  <si>
    <t>Battery</t>
  </si>
  <si>
    <t xml:space="preserve"> +9V</t>
  </si>
  <si>
    <t>-9V</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</si>
  <si>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</si>
  <si>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</si>
  <si>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</si>
  <si>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</si>
  <si>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</si>
  <si>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 xml:space="preserve"> +12V</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</si>
  <si>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</si>
  <si>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</si>
  <si>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</si>
  <si>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</si>
  <si>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</si>
  <si>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Power Budget for HMI - Jacob Alger</t>
  </si>
  <si>
    <t>Cropscout</t>
  </si>
  <si>
    <t>Jacob Alger, Caleb Yuen, Aaron Kiem, Isaiah Johnston, Cristopher Gutierrez, Asadbek Ruziev, Tyler Dean</t>
  </si>
  <si>
    <t>Team 202</t>
  </si>
  <si>
    <t xml:space="preserve"> +9V Power Rail</t>
  </si>
  <si>
    <t>DC Power Jack</t>
  </si>
  <si>
    <t>PJ-102AH</t>
  </si>
  <si>
    <t>24V</t>
  </si>
  <si>
    <t>B09ZTKTLGW</t>
  </si>
  <si>
    <t>9V</t>
  </si>
  <si>
    <t>12V</t>
  </si>
  <si>
    <t>3.3V Switching Regulator</t>
  </si>
  <si>
    <t>LM2575-3.3WU-TR</t>
  </si>
  <si>
    <t>4V - 40V</t>
  </si>
  <si>
    <t>ESP32 Microcontroller</t>
  </si>
  <si>
    <t>ESP32-S3-WROOM-1-N4</t>
  </si>
  <si>
    <t xml:space="preserve"> -0.3V to 3.6V</t>
  </si>
  <si>
    <t>OLED Screen</t>
  </si>
  <si>
    <t>GME12864-17</t>
  </si>
  <si>
    <t xml:space="preserve"> -0.3V to 4V</t>
  </si>
  <si>
    <t>4V to 40V</t>
  </si>
  <si>
    <t>Total Remaining Current Available on +9V Rail</t>
  </si>
  <si>
    <t>Total Current Required on +9V 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</si>
</sst>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7">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2" fillId="3" borderId="9" xfId="0" applyFont="1" applyFill="1" applyBorder="1"/>
    <xf numFmtId="0" fontId="0" fillId="2" borderId="0" xfId="0" applyFill="1"/>
    <xf numFmtId="0" fontId="4" fillId="3" borderId="5" xfId="0" applyFont="1" applyFill="1" applyBorder="1" applyAlignment="1">
      <alignment vertical="center"/>
    </xf>
    <xf numFmtId="0" fontId="4" fillId="3" borderId="5" xfId="0" applyFont="1" applyFill="1" applyBorder="1"/>
    <xf numFmtId="0" fontId="4" fillId="3" borderId="17" xfId="0" applyFont="1" applyFill="1" applyBorder="1"/>
    <xf numFmtId="0" fontId="4" fillId="3" borderId="9" xfId="0" applyFont="1" applyFill="1" applyBorder="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0" fontId="3" fillId="0" borderId="8" xfId="0" applyFont="1" applyBorder="1" applyAlignment="1">
      <alignment horizontal="center" vertical="center"/>
    </xf>
    <xf numFmtId="0" fontId="3" fillId="0" borderId="16" xfId="0" applyFont="1" applyBorder="1" applyAlignment="1">
      <alignment horizontal="center" vertical="center"/>
    </xf>
    <xf numFmtId="0" fontId="2" fillId="0" borderId="8" xfId="0" applyFont="1" applyBorder="1" applyAlignment="1">
      <alignment horizontal="center" vertical="center"/>
    </xf>
    <xf numFmtId="0" fontId="2" fillId="0" borderId="16" xfId="0" applyFont="1" applyBorder="1" applyAlignment="1">
      <alignment horizontal="center" vertical="center"/>
    </xf>
    <xf numFmtId="49" fontId="5" fillId="0" borderId="0" xfId="0" applyNumberFormat="1"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9"/>
  <sheetViews>
    <sheetView tabSelected="1" topLeftCell="A21" workbookViewId="0">
      <selection activeCell="I57" sqref="I57"/>
    </sheetView>
  </sheetViews>
  <sheetFormatPr defaultColWidth="13.3984375" defaultRowHeight="15.75" customHeight="1" x14ac:dyDescent="0.3"/>
  <cols>
    <col min="1" max="1" width="31" customWidth="1"/>
    <col min="2" max="2" width="23.09765625" customWidth="1"/>
    <col min="3" max="3" width="21.19921875" customWidth="1"/>
    <col min="4" max="4" width="20.09765625" customWidth="1"/>
    <col min="5" max="5" width="14.796875" customWidth="1"/>
    <col min="6" max="6" width="46.296875" customWidth="1"/>
    <col min="7" max="7" width="21.09765625" customWidth="1"/>
    <col min="8" max="8" width="7.19921875" customWidth="1"/>
  </cols>
  <sheetData>
    <row r="1" spans="1:8" ht="30" customHeight="1" x14ac:dyDescent="0.6">
      <c r="A1" s="55" t="s">
        <v>50</v>
      </c>
      <c r="B1" s="56"/>
      <c r="C1" s="56"/>
      <c r="D1" s="56"/>
      <c r="E1" s="56"/>
      <c r="F1" s="56"/>
      <c r="G1" s="56"/>
      <c r="H1" s="56"/>
    </row>
    <row r="2" spans="1:8" ht="15" customHeight="1" x14ac:dyDescent="0.3">
      <c r="A2" s="1" t="s">
        <v>0</v>
      </c>
      <c r="B2" s="62" t="s">
        <v>53</v>
      </c>
      <c r="C2" s="63"/>
      <c r="D2" s="63"/>
      <c r="E2" s="63"/>
      <c r="F2" s="63"/>
      <c r="G2" s="63"/>
      <c r="H2" s="63"/>
    </row>
    <row r="3" spans="1:8" ht="15" customHeight="1" x14ac:dyDescent="0.3">
      <c r="A3" s="3" t="s">
        <v>1</v>
      </c>
      <c r="B3" s="64" t="s">
        <v>51</v>
      </c>
      <c r="C3" s="65"/>
      <c r="D3" s="65"/>
      <c r="E3" s="65"/>
      <c r="F3" s="65"/>
      <c r="G3" s="65"/>
      <c r="H3" s="65"/>
    </row>
    <row r="4" spans="1:8" ht="15" customHeight="1" x14ac:dyDescent="0.3">
      <c r="A4" s="3" t="s">
        <v>2</v>
      </c>
      <c r="B4" s="64" t="s">
        <v>52</v>
      </c>
      <c r="C4" s="65"/>
      <c r="D4" s="65"/>
      <c r="E4" s="65"/>
      <c r="F4" s="65"/>
      <c r="G4" s="65"/>
      <c r="H4" s="65"/>
    </row>
    <row r="5" spans="1:8" ht="15" customHeight="1" x14ac:dyDescent="0.3">
      <c r="A5" s="3" t="s">
        <v>3</v>
      </c>
      <c r="B5" s="64">
        <v>1</v>
      </c>
      <c r="C5" s="65"/>
      <c r="D5" s="65"/>
      <c r="E5" s="65"/>
      <c r="F5" s="65"/>
      <c r="G5" s="65"/>
      <c r="H5" s="65"/>
    </row>
    <row r="6" spans="1:8" ht="15" customHeight="1" x14ac:dyDescent="0.3">
      <c r="A6" s="57" t="s">
        <v>4</v>
      </c>
      <c r="B6" s="58"/>
      <c r="C6" s="58"/>
      <c r="D6" s="58"/>
      <c r="E6" s="58"/>
      <c r="F6" s="58"/>
      <c r="G6" s="58"/>
      <c r="H6" s="59"/>
    </row>
    <row r="7" spans="1:8" ht="15" customHeight="1" x14ac:dyDescent="0.3">
      <c r="A7" s="6" t="s">
        <v>5</v>
      </c>
      <c r="B7" s="7" t="s">
        <v>6</v>
      </c>
      <c r="C7" s="7" t="s">
        <v>7</v>
      </c>
      <c r="D7" s="51" t="s">
        <v>8</v>
      </c>
      <c r="E7" s="8" t="s">
        <v>9</v>
      </c>
      <c r="F7" s="9" t="s">
        <v>10</v>
      </c>
      <c r="G7" s="10" t="s">
        <v>11</v>
      </c>
      <c r="H7" s="10" t="s">
        <v>12</v>
      </c>
    </row>
    <row r="8" spans="1:8" ht="15" customHeight="1" x14ac:dyDescent="0.3">
      <c r="A8" s="11"/>
      <c r="B8" t="s">
        <v>64</v>
      </c>
      <c r="C8" t="s">
        <v>65</v>
      </c>
      <c r="D8" s="12" t="s">
        <v>66</v>
      </c>
      <c r="E8" s="13">
        <v>1</v>
      </c>
      <c r="F8">
        <v>335</v>
      </c>
      <c r="G8" s="14">
        <f t="shared" ref="G8:G9" si="0">E8*F8</f>
        <v>335</v>
      </c>
      <c r="H8" s="15" t="s">
        <v>14</v>
      </c>
    </row>
    <row r="9" spans="1:8" ht="15" customHeight="1" x14ac:dyDescent="0.3">
      <c r="A9" s="11"/>
      <c r="B9" t="s">
        <v>67</v>
      </c>
      <c r="C9" t="s">
        <v>68</v>
      </c>
      <c r="D9" s="12" t="s">
        <v>69</v>
      </c>
      <c r="E9" s="13">
        <v>1</v>
      </c>
      <c r="F9">
        <v>40</v>
      </c>
      <c r="G9" s="14">
        <f t="shared" si="0"/>
        <v>40</v>
      </c>
      <c r="H9" s="15" t="s">
        <v>14</v>
      </c>
    </row>
    <row r="10" spans="1:8" ht="15" customHeight="1" x14ac:dyDescent="0.3">
      <c r="A10" s="17"/>
      <c r="B10" s="5"/>
      <c r="C10" s="4"/>
      <c r="D10" s="18"/>
      <c r="E10" s="2"/>
      <c r="F10" s="4"/>
      <c r="G10" s="19"/>
      <c r="H10" s="19"/>
    </row>
    <row r="11" spans="1:8" ht="15" customHeight="1" x14ac:dyDescent="0.3">
      <c r="A11" s="57" t="s">
        <v>16</v>
      </c>
      <c r="B11" s="58"/>
      <c r="C11" s="58"/>
      <c r="D11" s="58"/>
      <c r="E11" s="58"/>
      <c r="F11" s="58"/>
      <c r="G11" s="58"/>
      <c r="H11" s="59"/>
    </row>
    <row r="12" spans="1:8" ht="15" customHeight="1" x14ac:dyDescent="0.3">
      <c r="A12" s="20" t="s">
        <v>22</v>
      </c>
      <c r="B12" s="7" t="s">
        <v>6</v>
      </c>
      <c r="C12" s="7" t="s">
        <v>7</v>
      </c>
      <c r="D12" s="52" t="s">
        <v>8</v>
      </c>
      <c r="E12" s="8" t="s">
        <v>9</v>
      </c>
      <c r="F12" s="9" t="s">
        <v>10</v>
      </c>
      <c r="G12" s="29" t="s">
        <v>11</v>
      </c>
      <c r="H12" s="29" t="s">
        <v>12</v>
      </c>
    </row>
    <row r="13" spans="1:8" ht="15" customHeight="1" x14ac:dyDescent="0.3">
      <c r="A13" s="11"/>
      <c r="B13" t="s">
        <v>64</v>
      </c>
      <c r="C13" t="s">
        <v>65</v>
      </c>
      <c r="D13" s="12" t="s">
        <v>66</v>
      </c>
      <c r="E13" s="13">
        <v>1</v>
      </c>
      <c r="F13">
        <v>335</v>
      </c>
      <c r="G13" s="14">
        <f>E13*F13</f>
        <v>335</v>
      </c>
      <c r="H13" s="15" t="s">
        <v>14</v>
      </c>
    </row>
    <row r="14" spans="1:8" ht="15" customHeight="1" x14ac:dyDescent="0.3">
      <c r="A14" s="11"/>
      <c r="B14" t="s">
        <v>67</v>
      </c>
      <c r="C14" t="s">
        <v>68</v>
      </c>
      <c r="D14" s="12" t="s">
        <v>69</v>
      </c>
      <c r="E14" s="13">
        <v>1</v>
      </c>
      <c r="F14">
        <v>40</v>
      </c>
      <c r="G14" s="14">
        <f t="shared" ref="G14" si="1">E14*F14</f>
        <v>40</v>
      </c>
      <c r="H14" s="15" t="s">
        <v>14</v>
      </c>
    </row>
    <row r="15" spans="1:8" ht="15" customHeight="1" x14ac:dyDescent="0.3">
      <c r="A15" s="11"/>
      <c r="D15" s="13"/>
      <c r="E15" s="13"/>
      <c r="G15" s="14"/>
      <c r="H15" s="15"/>
    </row>
    <row r="16" spans="1:8" ht="15" customHeight="1" x14ac:dyDescent="0.3">
      <c r="A16" s="11"/>
      <c r="B16" s="60" t="s">
        <v>17</v>
      </c>
      <c r="C16" s="56"/>
      <c r="D16" s="56"/>
      <c r="E16" s="56"/>
      <c r="F16" s="56"/>
      <c r="G16" s="14">
        <f>SUM(G12:G15)</f>
        <v>375</v>
      </c>
      <c r="H16" s="15" t="s">
        <v>14</v>
      </c>
    </row>
    <row r="17" spans="1:8" ht="15" customHeight="1" x14ac:dyDescent="0.3">
      <c r="A17" s="11"/>
      <c r="B17" s="60" t="s">
        <v>18</v>
      </c>
      <c r="C17" s="56"/>
      <c r="D17" s="56"/>
      <c r="E17" s="56"/>
      <c r="F17" s="56"/>
      <c r="G17" s="22">
        <v>0.25</v>
      </c>
      <c r="H17" s="22"/>
    </row>
    <row r="18" spans="1:8" ht="15" customHeight="1" x14ac:dyDescent="0.3">
      <c r="A18" s="11"/>
      <c r="B18" s="61" t="s">
        <v>23</v>
      </c>
      <c r="C18" s="56"/>
      <c r="D18" s="56"/>
      <c r="E18" s="56"/>
      <c r="F18" s="56"/>
      <c r="G18" s="14">
        <f>G16*(1+G17)</f>
        <v>468.75</v>
      </c>
      <c r="H18" s="15" t="s">
        <v>14</v>
      </c>
    </row>
    <row r="19" spans="1:8" ht="15" customHeight="1" x14ac:dyDescent="0.3">
      <c r="A19" s="24"/>
      <c r="B19" s="16"/>
      <c r="D19" s="12"/>
      <c r="E19" s="13"/>
      <c r="G19" s="14"/>
      <c r="H19" s="19"/>
    </row>
    <row r="20" spans="1:8" ht="15" customHeight="1" x14ac:dyDescent="0.3">
      <c r="A20" s="24" t="s">
        <v>19</v>
      </c>
      <c r="B20" s="16" t="s">
        <v>61</v>
      </c>
      <c r="C20" t="s">
        <v>62</v>
      </c>
      <c r="D20" s="12" t="s">
        <v>70</v>
      </c>
      <c r="E20" s="13">
        <v>1</v>
      </c>
      <c r="F20">
        <v>1000</v>
      </c>
      <c r="G20" s="14">
        <f>E20*F20</f>
        <v>1000</v>
      </c>
      <c r="H20" s="15" t="s">
        <v>14</v>
      </c>
    </row>
    <row r="21" spans="1:8" ht="15" customHeight="1" x14ac:dyDescent="0.3">
      <c r="A21" s="11"/>
      <c r="B21" s="66" t="s">
        <v>24</v>
      </c>
      <c r="C21" s="56"/>
      <c r="D21" s="56"/>
      <c r="E21" s="56"/>
      <c r="F21" s="56"/>
      <c r="G21" s="27">
        <f>G20-G18</f>
        <v>531.25</v>
      </c>
      <c r="H21" s="15" t="s">
        <v>14</v>
      </c>
    </row>
    <row r="22" spans="1:8" ht="15" customHeight="1" x14ac:dyDescent="0.3">
      <c r="A22" s="30"/>
      <c r="B22" s="31"/>
      <c r="C22" s="31"/>
      <c r="D22" s="31"/>
      <c r="E22" s="31"/>
      <c r="F22" s="31"/>
      <c r="G22" s="32"/>
      <c r="H22" s="33"/>
    </row>
    <row r="23" spans="1:8" ht="15" customHeight="1" x14ac:dyDescent="0.3">
      <c r="A23" s="20" t="s">
        <v>54</v>
      </c>
      <c r="B23" s="7" t="s">
        <v>6</v>
      </c>
      <c r="C23" s="7" t="s">
        <v>7</v>
      </c>
      <c r="D23" s="52" t="s">
        <v>8</v>
      </c>
      <c r="E23" s="8" t="s">
        <v>9</v>
      </c>
      <c r="F23" s="9" t="s">
        <v>10</v>
      </c>
      <c r="G23" s="29" t="s">
        <v>11</v>
      </c>
      <c r="H23" s="29" t="s">
        <v>12</v>
      </c>
    </row>
    <row r="24" spans="1:8" ht="15" customHeight="1" x14ac:dyDescent="0.3">
      <c r="A24" s="11"/>
      <c r="B24" s="16" t="s">
        <v>61</v>
      </c>
      <c r="C24" t="s">
        <v>62</v>
      </c>
      <c r="D24" s="12" t="s">
        <v>70</v>
      </c>
      <c r="E24" s="13">
        <v>1</v>
      </c>
      <c r="F24">
        <v>1000</v>
      </c>
      <c r="G24" s="14">
        <f t="shared" ref="G24" si="2">E24*F24</f>
        <v>1000</v>
      </c>
      <c r="H24" s="15" t="s">
        <v>14</v>
      </c>
    </row>
    <row r="25" spans="1:8" ht="15" customHeight="1" x14ac:dyDescent="0.3">
      <c r="A25" s="11"/>
      <c r="D25" s="13"/>
      <c r="E25" s="13"/>
      <c r="G25" s="14"/>
      <c r="H25" s="15"/>
    </row>
    <row r="26" spans="1:8" ht="15" customHeight="1" x14ac:dyDescent="0.3">
      <c r="A26" s="11"/>
      <c r="B26" s="60" t="s">
        <v>17</v>
      </c>
      <c r="C26" s="56"/>
      <c r="D26" s="56"/>
      <c r="E26" s="56"/>
      <c r="F26" s="56"/>
      <c r="G26" s="14">
        <f>SUM(G24:G25)</f>
        <v>1000</v>
      </c>
      <c r="H26" s="15" t="s">
        <v>14</v>
      </c>
    </row>
    <row r="27" spans="1:8" ht="15" customHeight="1" x14ac:dyDescent="0.3">
      <c r="A27" s="11"/>
      <c r="B27" s="60" t="s">
        <v>18</v>
      </c>
      <c r="C27" s="56"/>
      <c r="D27" s="56"/>
      <c r="E27" s="56"/>
      <c r="F27" s="56"/>
      <c r="G27" s="22">
        <v>0.25</v>
      </c>
      <c r="H27" s="22"/>
    </row>
    <row r="28" spans="1:8" ht="15" customHeight="1" x14ac:dyDescent="0.3">
      <c r="A28" s="23"/>
      <c r="B28" s="61" t="s">
        <v>72</v>
      </c>
      <c r="C28" s="56"/>
      <c r="D28" s="56"/>
      <c r="E28" s="56"/>
      <c r="F28" s="56"/>
      <c r="G28" s="14">
        <f>G26*(1+G27)</f>
        <v>1250</v>
      </c>
      <c r="H28" s="15" t="s">
        <v>14</v>
      </c>
    </row>
    <row r="29" spans="1:8" ht="15" customHeight="1" x14ac:dyDescent="0.3">
      <c r="A29" s="24"/>
      <c r="B29" s="25"/>
      <c r="C29" s="25"/>
      <c r="D29" s="12"/>
      <c r="E29" s="12"/>
      <c r="F29" s="26"/>
      <c r="G29" s="27"/>
      <c r="H29" s="14"/>
    </row>
    <row r="30" spans="1:8" ht="15" customHeight="1" x14ac:dyDescent="0.3">
      <c r="A30" s="24" t="s">
        <v>20</v>
      </c>
      <c r="B30" s="25" t="s">
        <v>55</v>
      </c>
      <c r="C30" s="25" t="s">
        <v>56</v>
      </c>
      <c r="D30" s="12" t="s">
        <v>57</v>
      </c>
      <c r="E30" s="12">
        <v>1</v>
      </c>
      <c r="F30" s="26">
        <v>5000</v>
      </c>
      <c r="G30" s="27">
        <f>E30*F30</f>
        <v>5000</v>
      </c>
      <c r="H30" s="15" t="s">
        <v>14</v>
      </c>
    </row>
    <row r="31" spans="1:8" ht="15" customHeight="1" x14ac:dyDescent="0.3">
      <c r="A31" s="28"/>
      <c r="B31" s="67" t="s">
        <v>71</v>
      </c>
      <c r="C31" s="68"/>
      <c r="D31" s="68"/>
      <c r="E31" s="68"/>
      <c r="F31" s="68"/>
      <c r="G31" s="27">
        <f>G30-G28</f>
        <v>3750</v>
      </c>
      <c r="H31" s="15" t="s">
        <v>14</v>
      </c>
    </row>
    <row r="32" spans="1:8" ht="15" customHeight="1" x14ac:dyDescent="0.3">
      <c r="A32" s="30"/>
      <c r="B32" s="31"/>
      <c r="C32" s="31"/>
      <c r="D32" s="31"/>
      <c r="E32" s="31"/>
      <c r="F32" s="31"/>
      <c r="G32" s="32"/>
      <c r="H32" s="33"/>
    </row>
    <row r="33" spans="1:8" ht="15" customHeight="1" x14ac:dyDescent="0.3">
      <c r="A33" s="57" t="s">
        <v>25</v>
      </c>
      <c r="B33" s="58"/>
      <c r="C33" s="58"/>
      <c r="D33" s="58"/>
      <c r="E33" s="58"/>
      <c r="F33" s="58"/>
      <c r="G33" s="58"/>
      <c r="H33" s="59"/>
    </row>
    <row r="34" spans="1:8" ht="15" customHeight="1" x14ac:dyDescent="0.3">
      <c r="A34" s="69"/>
      <c r="B34" s="68"/>
      <c r="C34" s="68"/>
      <c r="D34" s="68"/>
      <c r="E34" s="68"/>
      <c r="F34" s="68"/>
      <c r="G34" s="68"/>
      <c r="H34" s="70"/>
    </row>
    <row r="35" spans="1:8" ht="15" customHeight="1" x14ac:dyDescent="0.3">
      <c r="A35" s="57" t="s">
        <v>26</v>
      </c>
      <c r="B35" s="58"/>
      <c r="C35" s="58"/>
      <c r="D35" s="58"/>
      <c r="E35" s="58"/>
      <c r="F35" s="58"/>
      <c r="G35" s="58"/>
      <c r="H35" s="59"/>
    </row>
    <row r="36" spans="1:8" ht="15" customHeight="1" x14ac:dyDescent="0.3">
      <c r="A36" s="20" t="s">
        <v>27</v>
      </c>
      <c r="B36" s="7" t="s">
        <v>6</v>
      </c>
      <c r="C36" s="7" t="s">
        <v>7</v>
      </c>
      <c r="D36" s="52" t="s">
        <v>8</v>
      </c>
      <c r="E36" s="34" t="s">
        <v>28</v>
      </c>
      <c r="F36" s="9" t="s">
        <v>10</v>
      </c>
      <c r="G36" s="29" t="s">
        <v>11</v>
      </c>
      <c r="H36" s="29" t="s">
        <v>12</v>
      </c>
    </row>
    <row r="37" spans="1:8" ht="15" customHeight="1" x14ac:dyDescent="0.3">
      <c r="A37" s="35" t="s">
        <v>29</v>
      </c>
      <c r="B37" s="25" t="s">
        <v>30</v>
      </c>
      <c r="C37" s="12" t="s">
        <v>58</v>
      </c>
      <c r="D37" s="12" t="s">
        <v>31</v>
      </c>
      <c r="E37" s="12" t="s">
        <v>60</v>
      </c>
      <c r="F37" s="26">
        <v>15000</v>
      </c>
      <c r="G37" s="36">
        <f>F37</f>
        <v>15000</v>
      </c>
      <c r="H37" s="37" t="s">
        <v>14</v>
      </c>
    </row>
    <row r="38" spans="1:8" ht="15" customHeight="1" x14ac:dyDescent="0.3">
      <c r="A38" s="38"/>
      <c r="B38" s="25"/>
      <c r="C38" s="25"/>
      <c r="D38" s="12"/>
      <c r="E38" s="12"/>
      <c r="F38" s="26"/>
      <c r="G38" s="27"/>
      <c r="H38" s="39"/>
    </row>
    <row r="39" spans="1:8" ht="15" customHeight="1" x14ac:dyDescent="0.3">
      <c r="A39" s="73" t="s">
        <v>32</v>
      </c>
      <c r="B39" s="25" t="s">
        <v>55</v>
      </c>
      <c r="C39" s="25" t="s">
        <v>56</v>
      </c>
      <c r="D39" s="12" t="s">
        <v>57</v>
      </c>
      <c r="E39" s="12" t="s">
        <v>59</v>
      </c>
      <c r="F39" s="26">
        <v>5000</v>
      </c>
      <c r="G39" s="27">
        <f>F39</f>
        <v>5000</v>
      </c>
      <c r="H39" s="15" t="s">
        <v>14</v>
      </c>
    </row>
    <row r="40" spans="1:8" ht="15" customHeight="1" x14ac:dyDescent="0.3">
      <c r="A40" s="74"/>
      <c r="B40" s="16" t="s">
        <v>61</v>
      </c>
      <c r="C40" t="s">
        <v>62</v>
      </c>
      <c r="D40" s="12" t="s">
        <v>63</v>
      </c>
      <c r="E40" s="13">
        <v>1</v>
      </c>
      <c r="F40">
        <v>1000</v>
      </c>
      <c r="G40" s="27">
        <f t="shared" ref="G40" si="3">E40*F40</f>
        <v>1000</v>
      </c>
      <c r="H40" s="15" t="s">
        <v>14</v>
      </c>
    </row>
    <row r="41" spans="1:8" ht="15" customHeight="1" x14ac:dyDescent="0.3">
      <c r="A41" s="38"/>
      <c r="B41" s="66" t="s">
        <v>33</v>
      </c>
      <c r="C41" s="56"/>
      <c r="D41" s="56"/>
      <c r="E41" s="56"/>
      <c r="F41" s="56"/>
      <c r="G41" s="36">
        <f>G37-SUM(G39:G40)</f>
        <v>9000</v>
      </c>
      <c r="H41" s="37" t="s">
        <v>14</v>
      </c>
    </row>
    <row r="42" spans="1:8" ht="15" customHeight="1" x14ac:dyDescent="0.3">
      <c r="A42" s="38"/>
      <c r="B42" s="2"/>
      <c r="C42" s="2"/>
      <c r="D42" s="18"/>
      <c r="E42" s="18"/>
      <c r="F42" s="18"/>
      <c r="G42" s="40"/>
      <c r="H42" s="41"/>
    </row>
    <row r="43" spans="1:8" ht="15" customHeight="1" x14ac:dyDescent="0.3">
      <c r="A43" s="20" t="s">
        <v>34</v>
      </c>
      <c r="B43" s="7" t="s">
        <v>6</v>
      </c>
      <c r="C43" s="7" t="s">
        <v>7</v>
      </c>
      <c r="D43" s="52" t="s">
        <v>8</v>
      </c>
      <c r="E43" s="34" t="s">
        <v>28</v>
      </c>
      <c r="F43" s="9" t="s">
        <v>10</v>
      </c>
      <c r="G43" s="29" t="s">
        <v>11</v>
      </c>
      <c r="H43" s="29" t="s">
        <v>12</v>
      </c>
    </row>
    <row r="44" spans="1:8" ht="15" customHeight="1" x14ac:dyDescent="0.3">
      <c r="A44" s="35" t="s">
        <v>35</v>
      </c>
      <c r="B44" s="25" t="s">
        <v>36</v>
      </c>
      <c r="C44" s="12" t="s">
        <v>13</v>
      </c>
      <c r="D44" s="12" t="s">
        <v>37</v>
      </c>
      <c r="E44" s="12" t="s">
        <v>38</v>
      </c>
      <c r="F44" s="26">
        <v>500</v>
      </c>
      <c r="G44" s="36">
        <v>500</v>
      </c>
      <c r="H44" s="37" t="s">
        <v>14</v>
      </c>
    </row>
    <row r="45" spans="1:8" ht="15" customHeight="1" x14ac:dyDescent="0.3">
      <c r="A45" s="38"/>
      <c r="B45" s="25"/>
      <c r="C45" s="25"/>
      <c r="D45" s="12"/>
      <c r="E45" s="12"/>
      <c r="F45" s="26"/>
      <c r="G45" s="27"/>
      <c r="H45" s="39"/>
    </row>
    <row r="46" spans="1:8" ht="15" customHeight="1" x14ac:dyDescent="0.3">
      <c r="A46" s="73" t="s">
        <v>39</v>
      </c>
      <c r="B46" s="25" t="s">
        <v>21</v>
      </c>
      <c r="C46" s="25" t="s">
        <v>13</v>
      </c>
      <c r="D46" s="12" t="s">
        <v>15</v>
      </c>
      <c r="E46" s="12">
        <v>1</v>
      </c>
      <c r="F46" s="26">
        <v>500</v>
      </c>
      <c r="G46" s="27">
        <f>E46*F46</f>
        <v>500</v>
      </c>
      <c r="H46" s="15" t="s">
        <v>14</v>
      </c>
    </row>
    <row r="47" spans="1:8" ht="15" customHeight="1" x14ac:dyDescent="0.3">
      <c r="A47" s="74"/>
      <c r="B47" s="25"/>
      <c r="C47" s="25"/>
      <c r="D47" s="12"/>
      <c r="E47" s="12"/>
      <c r="F47" s="26"/>
      <c r="G47" s="27"/>
      <c r="H47" s="15"/>
    </row>
    <row r="48" spans="1:8" ht="15" customHeight="1" x14ac:dyDescent="0.3">
      <c r="A48" s="74"/>
      <c r="B48" s="16"/>
      <c r="D48" s="12"/>
      <c r="E48" s="13"/>
      <c r="G48" s="14"/>
      <c r="H48" s="15"/>
    </row>
    <row r="49" spans="1:8" ht="15" customHeight="1" x14ac:dyDescent="0.3">
      <c r="A49" s="38"/>
      <c r="B49" s="66" t="s">
        <v>40</v>
      </c>
      <c r="C49" s="56"/>
      <c r="D49" s="56"/>
      <c r="E49" s="56"/>
      <c r="F49" s="56"/>
      <c r="G49" s="36">
        <f>G44-SUM(G46:G48)</f>
        <v>0</v>
      </c>
      <c r="H49" s="37" t="s">
        <v>14</v>
      </c>
    </row>
    <row r="50" spans="1:8" ht="15" customHeight="1" x14ac:dyDescent="0.3">
      <c r="A50" s="23"/>
      <c r="B50" s="16"/>
      <c r="D50" s="42"/>
      <c r="E50" s="12"/>
      <c r="F50" s="16"/>
      <c r="G50" s="14"/>
      <c r="H50" s="43"/>
    </row>
    <row r="51" spans="1:8" ht="15" customHeight="1" x14ac:dyDescent="0.3">
      <c r="A51" s="57" t="s">
        <v>41</v>
      </c>
      <c r="B51" s="58"/>
      <c r="C51" s="58"/>
      <c r="D51" s="58"/>
      <c r="E51" s="58"/>
      <c r="F51" s="75"/>
      <c r="G51" s="44"/>
      <c r="H51" s="44"/>
    </row>
    <row r="52" spans="1:8" ht="15" customHeight="1" x14ac:dyDescent="0.3">
      <c r="A52" s="45"/>
      <c r="B52" s="46" t="s">
        <v>6</v>
      </c>
      <c r="C52" s="46" t="s">
        <v>7</v>
      </c>
      <c r="D52" s="53" t="s">
        <v>8</v>
      </c>
      <c r="E52" s="47"/>
      <c r="F52" s="48" t="s">
        <v>42</v>
      </c>
      <c r="G52" s="54" t="s">
        <v>43</v>
      </c>
      <c r="H52" s="49"/>
    </row>
    <row r="53" spans="1:8" ht="15" customHeight="1" x14ac:dyDescent="0.3">
      <c r="A53" s="11"/>
      <c r="B53" t="s">
        <v>36</v>
      </c>
      <c r="C53" t="s">
        <v>13</v>
      </c>
      <c r="D53" s="12" t="s">
        <v>44</v>
      </c>
      <c r="E53" s="13"/>
      <c r="F53" s="16">
        <v>500</v>
      </c>
      <c r="G53" s="14">
        <f>SUM(G46:G48)</f>
        <v>500</v>
      </c>
      <c r="H53" s="14"/>
    </row>
    <row r="54" spans="1:8" ht="15" customHeight="1" x14ac:dyDescent="0.3">
      <c r="A54" s="11"/>
      <c r="D54" s="13"/>
      <c r="E54" s="13"/>
      <c r="F54" s="21" t="s">
        <v>45</v>
      </c>
      <c r="G54" s="14">
        <f>F53/G53</f>
        <v>1</v>
      </c>
      <c r="H54" s="15" t="s">
        <v>46</v>
      </c>
    </row>
    <row r="55" spans="1:8" ht="15" customHeight="1" x14ac:dyDescent="0.3">
      <c r="A55" s="76" t="s">
        <v>47</v>
      </c>
      <c r="B55" s="56"/>
      <c r="C55" s="56"/>
      <c r="D55" s="56"/>
      <c r="E55" s="56"/>
      <c r="F55" s="56"/>
      <c r="G55" s="50"/>
      <c r="H55" s="50"/>
    </row>
    <row r="56" spans="1:8" ht="15" customHeight="1" x14ac:dyDescent="0.3">
      <c r="A56" s="71" t="s">
        <v>48</v>
      </c>
      <c r="B56" s="56"/>
      <c r="C56" s="56"/>
      <c r="D56" s="56"/>
      <c r="E56" s="56"/>
      <c r="F56" s="56"/>
      <c r="G56" s="56"/>
      <c r="H56" s="56"/>
    </row>
    <row r="57" spans="1:8" ht="15" customHeight="1" x14ac:dyDescent="0.3">
      <c r="A57" s="72" t="s">
        <v>49</v>
      </c>
      <c r="B57" s="56"/>
      <c r="C57" s="56"/>
      <c r="D57" s="56"/>
      <c r="E57" s="56"/>
      <c r="F57" s="56"/>
      <c r="G57" s="56"/>
      <c r="H57" s="56"/>
    </row>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sheetData>
  <mergeCells count="26">
    <mergeCell ref="A33:H33"/>
    <mergeCell ref="A34:H34"/>
    <mergeCell ref="A56:H56"/>
    <mergeCell ref="A57:H57"/>
    <mergeCell ref="A35:H35"/>
    <mergeCell ref="A39:A40"/>
    <mergeCell ref="B41:F41"/>
    <mergeCell ref="A46:A48"/>
    <mergeCell ref="B49:F49"/>
    <mergeCell ref="A51:F51"/>
    <mergeCell ref="A55:F55"/>
    <mergeCell ref="B26:F26"/>
    <mergeCell ref="B27:F27"/>
    <mergeCell ref="B28:F28"/>
    <mergeCell ref="B21:F21"/>
    <mergeCell ref="B31:F31"/>
    <mergeCell ref="A1:H1"/>
    <mergeCell ref="A6:H6"/>
    <mergeCell ref="A11:H11"/>
    <mergeCell ref="B17:F17"/>
    <mergeCell ref="B18:F18"/>
    <mergeCell ref="B2:H2"/>
    <mergeCell ref="B3:H3"/>
    <mergeCell ref="B5:H5"/>
    <mergeCell ref="B16:F16"/>
    <mergeCell ref="B4:H4"/>
  </mergeCells>
  <conditionalFormatting sqref="G21 G31">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dcterms:created xsi:type="dcterms:W3CDTF">2026-02-20T21:34:05Z</dcterms:created>
  <dcterms:modified xsi:type="dcterms:W3CDTF">2026-02-23T01:10:16Z</dcterms:modified>
</cp:coreProperties>
</file>