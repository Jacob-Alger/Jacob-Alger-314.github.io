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a531e40cc6beaed5/Documents/"/>
    </mc:Choice>
  </mc:AlternateContent>
  <xr:revisionPtr revIDLastSave="72" documentId="8_{78606173-F688-492F-A36F-4C67BB02F028}" xr6:coauthVersionLast="47" xr6:coauthVersionMax="47" xr10:uidLastSave="{A7288CF1-DA8D-4473-8042-49F6CF8D4ECF}"/>
  <bookViews>
    <workbookView xWindow="-108" yWindow="-108" windowWidth="23256" windowHeight="12456"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 r="G41" i="1" s="1"/>
  <c r="G39" i="1"/>
  <c r="G20" i="1"/>
  <c r="G14" i="1"/>
  <c r="G13" i="1"/>
  <c r="G40" i="1"/>
  <c r="G30" i="1"/>
  <c r="G24" i="1"/>
  <c r="G9" i="1"/>
  <c r="G8" i="1"/>
  <c r="G26" i="1" l="1"/>
  <c r="G28" i="1" s="1"/>
  <c r="G16" i="1"/>
  <c r="G18" i="1" s="1"/>
  <c r="G21" i="1" s="1"/>
  <c r="G3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<sst xmlns="http://schemas.openxmlformats.org/spreadsheetml/2006/main" count="109" uniqueCount="58">
  <si>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</si>
  <si>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</si>
  <si>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</si>
  <si>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</si>
  <si>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</si>
  <si>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</si>
  <si>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</si>
  <si>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</si>
  <si>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</si>
  <si>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</si>
  <si>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</si>
  <si>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</si>
  <si>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</si>
  <si>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</si>
  <si>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</si>
  <si>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</si>
  <si>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</si>
  <si>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</si>
  <si>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c2. Regulator or Source Choice</t>
  </si>
  <si>
    <t xml:space="preserve"> +3.3V Power Rail</t>
  </si>
  <si>
    <t>Total Current Required on +3.3V Rail</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</si>
  <si>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</si>
  <si>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</si>
  <si>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</si>
  <si>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</si>
  <si>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</si>
  <si>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</si>
  <si>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</si>
  <si>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</si>
  <si>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Power Rails Connected to External Power Source 1</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</si>
  <si>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</si>
  <si>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</si>
  <si>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</si>
  <si>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</si>
  <si>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Power Budget for HMI - Jacob Alger</t>
  </si>
  <si>
    <t>Cropscout</t>
  </si>
  <si>
    <t>Jacob Alger, Caleb Yuen, Aaron Kiem, Isaiah Johnston, Cristopher Gutierrez, Asadbek Ruziev, Tyler Dean</t>
  </si>
  <si>
    <t>Team 202</t>
  </si>
  <si>
    <t xml:space="preserve"> +9V Power Rail</t>
  </si>
  <si>
    <t>DC Power Jack</t>
  </si>
  <si>
    <t>PJ-102AH</t>
  </si>
  <si>
    <t>24V</t>
  </si>
  <si>
    <t>B09ZTKTLGW</t>
  </si>
  <si>
    <t>9V</t>
  </si>
  <si>
    <t>12V</t>
  </si>
  <si>
    <t>3.3V Switching Regulator</t>
  </si>
  <si>
    <t>LM2575-3.3WU-TR</t>
  </si>
  <si>
    <t>4V - 40V</t>
  </si>
  <si>
    <t>ESP32 Microcontroller</t>
  </si>
  <si>
    <t>ESP32-S3-WROOM-1-N4</t>
  </si>
  <si>
    <t xml:space="preserve"> -0.3V to 3.6V</t>
  </si>
  <si>
    <t>OLED Screen</t>
  </si>
  <si>
    <t>GME12864-17</t>
  </si>
  <si>
    <t xml:space="preserve"> -0.3V to 4V</t>
  </si>
  <si>
    <t>Total Remaining Current Available on +9V Rail</t>
  </si>
  <si>
    <t>Total Current Required on +9V Rail</t>
  </si>
  <si>
    <t>LM2575D2T-3.3R4G</t>
  </si>
  <si>
    <t>4.75V to 40V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</si>
</sst>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Arial"/>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diagonal/>
    </border>
  </borders>
  <cellStyleXfs count="1">
    <xf numFmtId="0" fontId="0" fillId="0" borderId="0"/>
  </cellStyleXfs>
  <cellXfs count="65">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0" fillId="2" borderId="0" xfId="0" applyFill="1"/>
    <xf numFmtId="0" fontId="4" fillId="3" borderId="5" xfId="0" applyFont="1" applyFill="1" applyBorder="1" applyAlignment="1">
      <alignment vertical="center"/>
    </xf>
    <xf numFmtId="0" fontId="4" fillId="3" borderId="5" xfId="0" applyFont="1" applyFill="1" applyBorder="1"/>
    <xf numFmtId="0" fontId="5" fillId="2" borderId="2" xfId="0" applyFont="1" applyFill="1" applyBorder="1" applyAlignment="1">
      <alignment wrapText="1"/>
    </xf>
    <xf numFmtId="0" fontId="3" fillId="0" borderId="3" xfId="0" applyFont="1" applyBorder="1"/>
    <xf numFmtId="0" fontId="3" fillId="0" borderId="4" xfId="0" applyFont="1" applyBorder="1"/>
    <xf numFmtId="0" fontId="5" fillId="0" borderId="11" xfId="0" applyFont="1" applyBorder="1" applyAlignment="1">
      <alignment wrapText="1"/>
    </xf>
    <xf numFmtId="0" fontId="3" fillId="0" borderId="12" xfId="0" applyFont="1" applyBorder="1"/>
    <xf numFmtId="0" fontId="3" fillId="0" borderId="13" xfId="0" applyFont="1" applyBorder="1"/>
    <xf numFmtId="0" fontId="6" fillId="0" borderId="0" xfId="0" applyFont="1" applyAlignment="1">
      <alignment wrapText="1"/>
    </xf>
    <xf numFmtId="0" fontId="0" fillId="0" borderId="0" xfId="0"/>
    <xf numFmtId="0" fontId="8" fillId="4" borderId="0" xfId="0" applyFont="1" applyFill="1" applyAlignment="1">
      <alignment horizontal="left" wrapText="1"/>
    </xf>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5" fillId="2" borderId="0" xfId="0" applyFont="1" applyFill="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1" fillId="0" borderId="0" xfId="0" applyFont="1" applyAlignment="1">
      <alignment horizontal="center"/>
    </xf>
    <xf numFmtId="0" fontId="3" fillId="0" borderId="8" xfId="0" applyFont="1" applyBorder="1" applyAlignment="1">
      <alignment horizontal="center" vertical="center"/>
    </xf>
    <xf numFmtId="0" fontId="3" fillId="0" borderId="15" xfId="0" applyFont="1" applyBorder="1" applyAlignment="1">
      <alignment horizontal="center" vertical="center"/>
    </xf>
    <xf numFmtId="0" fontId="2" fillId="0" borderId="8" xfId="0" applyFont="1" applyBorder="1" applyAlignment="1">
      <alignment horizontal="center" vertical="center"/>
    </xf>
    <xf numFmtId="0" fontId="2" fillId="0" borderId="15" xfId="0" applyFont="1" applyBorder="1" applyAlignment="1">
      <alignment horizontal="center" vertic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67"/>
  <sheetViews>
    <sheetView tabSelected="1" workbookViewId="0">
      <selection activeCell="I47" sqref="I47"/>
    </sheetView>
  </sheetViews>
  <sheetFormatPr defaultColWidth="13.3984375" defaultRowHeight="15.75" customHeight="1" x14ac:dyDescent="0.3"/>
  <cols>
    <col min="1" max="1" width="31" customWidth="1"/>
    <col min="2" max="2" width="23.09765625" customWidth="1"/>
    <col min="3" max="3" width="21.19921875" customWidth="1"/>
    <col min="4" max="4" width="20.09765625" customWidth="1"/>
    <col min="5" max="5" width="14.796875" customWidth="1"/>
    <col min="6" max="6" width="46.296875" customWidth="1"/>
    <col min="7" max="7" width="21.09765625" customWidth="1"/>
    <col min="8" max="8" width="7.19921875" customWidth="1"/>
  </cols>
  <sheetData>
    <row r="1" spans="1:8" ht="30" customHeight="1" x14ac:dyDescent="0.6">
      <c r="A1" s="60" t="s">
        <v>34</v>
      </c>
      <c r="B1" s="51"/>
      <c r="C1" s="51"/>
      <c r="D1" s="51"/>
      <c r="E1" s="51"/>
      <c r="F1" s="51"/>
      <c r="G1" s="51"/>
      <c r="H1" s="51"/>
    </row>
    <row r="2" spans="1:8" ht="15" customHeight="1" x14ac:dyDescent="0.3">
      <c r="A2" s="1" t="s">
        <v>0</v>
      </c>
      <c r="B2" s="61" t="s">
        <v>37</v>
      </c>
      <c r="C2" s="62"/>
      <c r="D2" s="62"/>
      <c r="E2" s="62"/>
      <c r="F2" s="62"/>
      <c r="G2" s="62"/>
      <c r="H2" s="62"/>
    </row>
    <row r="3" spans="1:8" ht="15" customHeight="1" x14ac:dyDescent="0.3">
      <c r="A3" s="3" t="s">
        <v>1</v>
      </c>
      <c r="B3" s="63" t="s">
        <v>35</v>
      </c>
      <c r="C3" s="64"/>
      <c r="D3" s="64"/>
      <c r="E3" s="64"/>
      <c r="F3" s="64"/>
      <c r="G3" s="64"/>
      <c r="H3" s="64"/>
    </row>
    <row r="4" spans="1:8" ht="15" customHeight="1" x14ac:dyDescent="0.3">
      <c r="A4" s="3" t="s">
        <v>2</v>
      </c>
      <c r="B4" s="63" t="s">
        <v>36</v>
      </c>
      <c r="C4" s="64"/>
      <c r="D4" s="64"/>
      <c r="E4" s="64"/>
      <c r="F4" s="64"/>
      <c r="G4" s="64"/>
      <c r="H4" s="64"/>
    </row>
    <row r="5" spans="1:8" ht="15" customHeight="1" x14ac:dyDescent="0.3">
      <c r="A5" s="3" t="s">
        <v>3</v>
      </c>
      <c r="B5" s="63">
        <v>2</v>
      </c>
      <c r="C5" s="64"/>
      <c r="D5" s="64"/>
      <c r="E5" s="64"/>
      <c r="F5" s="64"/>
      <c r="G5" s="64"/>
      <c r="H5" s="64"/>
    </row>
    <row r="6" spans="1:8" ht="15" customHeight="1" x14ac:dyDescent="0.3">
      <c r="A6" s="44" t="s">
        <v>4</v>
      </c>
      <c r="B6" s="45"/>
      <c r="C6" s="45"/>
      <c r="D6" s="45"/>
      <c r="E6" s="45"/>
      <c r="F6" s="45"/>
      <c r="G6" s="45"/>
      <c r="H6" s="46"/>
    </row>
    <row r="7" spans="1:8" ht="15" customHeight="1" x14ac:dyDescent="0.3">
      <c r="A7" s="6" t="s">
        <v>5</v>
      </c>
      <c r="B7" s="7" t="s">
        <v>6</v>
      </c>
      <c r="C7" s="7" t="s">
        <v>7</v>
      </c>
      <c r="D7" s="42" t="s">
        <v>8</v>
      </c>
      <c r="E7" s="8" t="s">
        <v>9</v>
      </c>
      <c r="F7" s="9" t="s">
        <v>10</v>
      </c>
      <c r="G7" s="10" t="s">
        <v>11</v>
      </c>
      <c r="H7" s="10" t="s">
        <v>12</v>
      </c>
    </row>
    <row r="8" spans="1:8" ht="15" customHeight="1" x14ac:dyDescent="0.3">
      <c r="A8" s="11"/>
      <c r="B8" t="s">
        <v>48</v>
      </c>
      <c r="C8" t="s">
        <v>49</v>
      </c>
      <c r="D8" s="12" t="s">
        <v>50</v>
      </c>
      <c r="E8" s="13">
        <v>1</v>
      </c>
      <c r="F8">
        <v>335</v>
      </c>
      <c r="G8" s="14">
        <f t="shared" ref="G8:G9" si="0">E8*F8</f>
        <v>335</v>
      </c>
      <c r="H8" s="15" t="s">
        <v>13</v>
      </c>
    </row>
    <row r="9" spans="1:8" ht="15" customHeight="1" x14ac:dyDescent="0.3">
      <c r="A9" s="11"/>
      <c r="B9" t="s">
        <v>51</v>
      </c>
      <c r="C9" t="s">
        <v>52</v>
      </c>
      <c r="D9" s="12" t="s">
        <v>53</v>
      </c>
      <c r="E9" s="13">
        <v>1</v>
      </c>
      <c r="F9">
        <v>40</v>
      </c>
      <c r="G9" s="14">
        <f t="shared" si="0"/>
        <v>40</v>
      </c>
      <c r="H9" s="15" t="s">
        <v>13</v>
      </c>
    </row>
    <row r="10" spans="1:8" ht="15" customHeight="1" x14ac:dyDescent="0.3">
      <c r="A10" s="17"/>
      <c r="B10" s="5"/>
      <c r="C10" s="4"/>
      <c r="D10" s="18"/>
      <c r="E10" s="2"/>
      <c r="F10" s="4"/>
      <c r="G10" s="19"/>
      <c r="H10" s="19"/>
    </row>
    <row r="11" spans="1:8" ht="15" customHeight="1" x14ac:dyDescent="0.3">
      <c r="A11" s="44" t="s">
        <v>14</v>
      </c>
      <c r="B11" s="45"/>
      <c r="C11" s="45"/>
      <c r="D11" s="45"/>
      <c r="E11" s="45"/>
      <c r="F11" s="45"/>
      <c r="G11" s="45"/>
      <c r="H11" s="46"/>
    </row>
    <row r="12" spans="1:8" ht="15" customHeight="1" x14ac:dyDescent="0.3">
      <c r="A12" s="20" t="s">
        <v>19</v>
      </c>
      <c r="B12" s="7" t="s">
        <v>6</v>
      </c>
      <c r="C12" s="7" t="s">
        <v>7</v>
      </c>
      <c r="D12" s="43" t="s">
        <v>8</v>
      </c>
      <c r="E12" s="8" t="s">
        <v>9</v>
      </c>
      <c r="F12" s="9" t="s">
        <v>10</v>
      </c>
      <c r="G12" s="28" t="s">
        <v>11</v>
      </c>
      <c r="H12" s="28" t="s">
        <v>12</v>
      </c>
    </row>
    <row r="13" spans="1:8" ht="15" customHeight="1" x14ac:dyDescent="0.3">
      <c r="A13" s="11"/>
      <c r="B13" t="s">
        <v>48</v>
      </c>
      <c r="C13" t="s">
        <v>49</v>
      </c>
      <c r="D13" s="12" t="s">
        <v>50</v>
      </c>
      <c r="E13" s="13">
        <v>1</v>
      </c>
      <c r="F13">
        <v>335</v>
      </c>
      <c r="G13" s="14">
        <f>E13*F13</f>
        <v>335</v>
      </c>
      <c r="H13" s="15" t="s">
        <v>13</v>
      </c>
    </row>
    <row r="14" spans="1:8" ht="15" customHeight="1" x14ac:dyDescent="0.3">
      <c r="A14" s="11"/>
      <c r="B14" t="s">
        <v>51</v>
      </c>
      <c r="C14" t="s">
        <v>52</v>
      </c>
      <c r="D14" s="12" t="s">
        <v>53</v>
      </c>
      <c r="E14" s="13">
        <v>1</v>
      </c>
      <c r="F14">
        <v>40</v>
      </c>
      <c r="G14" s="14">
        <f t="shared" ref="G14" si="1">E14*F14</f>
        <v>40</v>
      </c>
      <c r="H14" s="15" t="s">
        <v>13</v>
      </c>
    </row>
    <row r="15" spans="1:8" ht="15" customHeight="1" x14ac:dyDescent="0.3">
      <c r="A15" s="11"/>
      <c r="D15" s="13"/>
      <c r="E15" s="13"/>
      <c r="G15" s="14"/>
      <c r="H15" s="15"/>
    </row>
    <row r="16" spans="1:8" ht="15" customHeight="1" x14ac:dyDescent="0.3">
      <c r="A16" s="11"/>
      <c r="B16" s="57" t="s">
        <v>15</v>
      </c>
      <c r="C16" s="51"/>
      <c r="D16" s="51"/>
      <c r="E16" s="51"/>
      <c r="F16" s="51"/>
      <c r="G16" s="14">
        <f>SUM(G12:G15)</f>
        <v>375</v>
      </c>
      <c r="H16" s="15" t="s">
        <v>13</v>
      </c>
    </row>
    <row r="17" spans="1:8" ht="15" customHeight="1" x14ac:dyDescent="0.3">
      <c r="A17" s="11"/>
      <c r="B17" s="57" t="s">
        <v>16</v>
      </c>
      <c r="C17" s="51"/>
      <c r="D17" s="51"/>
      <c r="E17" s="51"/>
      <c r="F17" s="51"/>
      <c r="G17" s="21">
        <v>0.25</v>
      </c>
      <c r="H17" s="21"/>
    </row>
    <row r="18" spans="1:8" ht="15" customHeight="1" x14ac:dyDescent="0.3">
      <c r="A18" s="11"/>
      <c r="B18" s="58" t="s">
        <v>20</v>
      </c>
      <c r="C18" s="51"/>
      <c r="D18" s="51"/>
      <c r="E18" s="51"/>
      <c r="F18" s="51"/>
      <c r="G18" s="14">
        <f>G16*(1+G17)</f>
        <v>468.75</v>
      </c>
      <c r="H18" s="15" t="s">
        <v>13</v>
      </c>
    </row>
    <row r="19" spans="1:8" ht="15" customHeight="1" x14ac:dyDescent="0.3">
      <c r="A19" s="23"/>
      <c r="B19" s="16"/>
      <c r="D19" s="12"/>
      <c r="E19" s="13"/>
      <c r="G19" s="14"/>
      <c r="H19" s="19"/>
    </row>
    <row r="20" spans="1:8" ht="15" customHeight="1" x14ac:dyDescent="0.3">
      <c r="A20" s="23" t="s">
        <v>17</v>
      </c>
      <c r="B20" s="16" t="s">
        <v>45</v>
      </c>
      <c r="C20" t="s">
        <v>56</v>
      </c>
      <c r="D20" s="12" t="s">
        <v>57</v>
      </c>
      <c r="E20" s="13">
        <v>1</v>
      </c>
      <c r="F20">
        <v>1000</v>
      </c>
      <c r="G20" s="14">
        <f>E20*F20</f>
        <v>1000</v>
      </c>
      <c r="H20" s="15" t="s">
        <v>13</v>
      </c>
    </row>
    <row r="21" spans="1:8" ht="15" customHeight="1" x14ac:dyDescent="0.3">
      <c r="A21" s="11"/>
      <c r="B21" s="55" t="s">
        <v>21</v>
      </c>
      <c r="C21" s="51"/>
      <c r="D21" s="51"/>
      <c r="E21" s="51"/>
      <c r="F21" s="51"/>
      <c r="G21" s="26">
        <f>G20-G18</f>
        <v>531.25</v>
      </c>
      <c r="H21" s="15" t="s">
        <v>13</v>
      </c>
    </row>
    <row r="22" spans="1:8" ht="15" customHeight="1" x14ac:dyDescent="0.3">
      <c r="A22" s="29"/>
      <c r="B22" s="30"/>
      <c r="C22" s="30"/>
      <c r="D22" s="30"/>
      <c r="E22" s="30"/>
      <c r="F22" s="30"/>
      <c r="G22" s="31"/>
      <c r="H22" s="32"/>
    </row>
    <row r="23" spans="1:8" ht="15" customHeight="1" x14ac:dyDescent="0.3">
      <c r="A23" s="20" t="s">
        <v>38</v>
      </c>
      <c r="B23" s="7" t="s">
        <v>6</v>
      </c>
      <c r="C23" s="7" t="s">
        <v>7</v>
      </c>
      <c r="D23" s="43" t="s">
        <v>8</v>
      </c>
      <c r="E23" s="8" t="s">
        <v>9</v>
      </c>
      <c r="F23" s="9" t="s">
        <v>10</v>
      </c>
      <c r="G23" s="28" t="s">
        <v>11</v>
      </c>
      <c r="H23" s="28" t="s">
        <v>12</v>
      </c>
    </row>
    <row r="24" spans="1:8" ht="15" customHeight="1" x14ac:dyDescent="0.3">
      <c r="A24" s="11"/>
      <c r="B24" s="16" t="s">
        <v>45</v>
      </c>
      <c r="C24" t="s">
        <v>56</v>
      </c>
      <c r="D24" s="12" t="s">
        <v>57</v>
      </c>
      <c r="E24" s="13">
        <v>1</v>
      </c>
      <c r="F24">
        <v>1000</v>
      </c>
      <c r="G24" s="14">
        <f t="shared" ref="G24" si="2">E24*F24</f>
        <v>1000</v>
      </c>
      <c r="H24" s="15" t="s">
        <v>13</v>
      </c>
    </row>
    <row r="25" spans="1:8" ht="15" customHeight="1" x14ac:dyDescent="0.3">
      <c r="A25" s="11"/>
      <c r="D25" s="13"/>
      <c r="E25" s="13"/>
      <c r="G25" s="14"/>
      <c r="H25" s="15"/>
    </row>
    <row r="26" spans="1:8" ht="15" customHeight="1" x14ac:dyDescent="0.3">
      <c r="A26" s="11"/>
      <c r="B26" s="57" t="s">
        <v>15</v>
      </c>
      <c r="C26" s="51"/>
      <c r="D26" s="51"/>
      <c r="E26" s="51"/>
      <c r="F26" s="51"/>
      <c r="G26" s="14">
        <f>SUM(G24:G25)</f>
        <v>1000</v>
      </c>
      <c r="H26" s="15" t="s">
        <v>13</v>
      </c>
    </row>
    <row r="27" spans="1:8" ht="15" customHeight="1" x14ac:dyDescent="0.3">
      <c r="A27" s="11"/>
      <c r="B27" s="57" t="s">
        <v>16</v>
      </c>
      <c r="C27" s="51"/>
      <c r="D27" s="51"/>
      <c r="E27" s="51"/>
      <c r="F27" s="51"/>
      <c r="G27" s="21">
        <v>0.25</v>
      </c>
      <c r="H27" s="21"/>
    </row>
    <row r="28" spans="1:8" ht="15" customHeight="1" x14ac:dyDescent="0.3">
      <c r="A28" s="22"/>
      <c r="B28" s="58" t="s">
        <v>55</v>
      </c>
      <c r="C28" s="51"/>
      <c r="D28" s="51"/>
      <c r="E28" s="51"/>
      <c r="F28" s="51"/>
      <c r="G28" s="14">
        <f>G26*(1+G27)</f>
        <v>1250</v>
      </c>
      <c r="H28" s="15" t="s">
        <v>13</v>
      </c>
    </row>
    <row r="29" spans="1:8" ht="15" customHeight="1" x14ac:dyDescent="0.3">
      <c r="A29" s="23"/>
      <c r="B29" s="24"/>
      <c r="C29" s="24"/>
      <c r="D29" s="12"/>
      <c r="E29" s="12"/>
      <c r="F29" s="25"/>
      <c r="G29" s="26"/>
      <c r="H29" s="14"/>
    </row>
    <row r="30" spans="1:8" ht="15" customHeight="1" x14ac:dyDescent="0.3">
      <c r="A30" s="23" t="s">
        <v>18</v>
      </c>
      <c r="B30" s="24" t="s">
        <v>39</v>
      </c>
      <c r="C30" s="24" t="s">
        <v>40</v>
      </c>
      <c r="D30" s="12" t="s">
        <v>41</v>
      </c>
      <c r="E30" s="12">
        <v>1</v>
      </c>
      <c r="F30" s="25">
        <v>5000</v>
      </c>
      <c r="G30" s="26">
        <f>E30*F30</f>
        <v>5000</v>
      </c>
      <c r="H30" s="15" t="s">
        <v>13</v>
      </c>
    </row>
    <row r="31" spans="1:8" ht="15" customHeight="1" x14ac:dyDescent="0.3">
      <c r="A31" s="27"/>
      <c r="B31" s="59" t="s">
        <v>54</v>
      </c>
      <c r="C31" s="48"/>
      <c r="D31" s="48"/>
      <c r="E31" s="48"/>
      <c r="F31" s="48"/>
      <c r="G31" s="26">
        <f>G30-G28</f>
        <v>3750</v>
      </c>
      <c r="H31" s="15" t="s">
        <v>13</v>
      </c>
    </row>
    <row r="32" spans="1:8" ht="15" customHeight="1" x14ac:dyDescent="0.3">
      <c r="A32" s="29"/>
      <c r="B32" s="30"/>
      <c r="C32" s="30"/>
      <c r="D32" s="30"/>
      <c r="E32" s="30"/>
      <c r="F32" s="30"/>
      <c r="G32" s="31"/>
      <c r="H32" s="32"/>
    </row>
    <row r="33" spans="1:8" ht="15" customHeight="1" x14ac:dyDescent="0.3">
      <c r="A33" s="44" t="s">
        <v>22</v>
      </c>
      <c r="B33" s="45"/>
      <c r="C33" s="45"/>
      <c r="D33" s="45"/>
      <c r="E33" s="45"/>
      <c r="F33" s="45"/>
      <c r="G33" s="45"/>
      <c r="H33" s="46"/>
    </row>
    <row r="34" spans="1:8" ht="15" customHeight="1" x14ac:dyDescent="0.3">
      <c r="A34" s="47"/>
      <c r="B34" s="48"/>
      <c r="C34" s="48"/>
      <c r="D34" s="48"/>
      <c r="E34" s="48"/>
      <c r="F34" s="48"/>
      <c r="G34" s="48"/>
      <c r="H34" s="49"/>
    </row>
    <row r="35" spans="1:8" ht="15" customHeight="1" x14ac:dyDescent="0.3">
      <c r="A35" s="44" t="s">
        <v>23</v>
      </c>
      <c r="B35" s="45"/>
      <c r="C35" s="45"/>
      <c r="D35" s="45"/>
      <c r="E35" s="45"/>
      <c r="F35" s="45"/>
      <c r="G35" s="45"/>
      <c r="H35" s="46"/>
    </row>
    <row r="36" spans="1:8" ht="15" customHeight="1" x14ac:dyDescent="0.3">
      <c r="A36" s="20" t="s">
        <v>24</v>
      </c>
      <c r="B36" s="7" t="s">
        <v>6</v>
      </c>
      <c r="C36" s="7" t="s">
        <v>7</v>
      </c>
      <c r="D36" s="43" t="s">
        <v>8</v>
      </c>
      <c r="E36" s="33" t="s">
        <v>25</v>
      </c>
      <c r="F36" s="9" t="s">
        <v>10</v>
      </c>
      <c r="G36" s="28" t="s">
        <v>11</v>
      </c>
      <c r="H36" s="28" t="s">
        <v>12</v>
      </c>
    </row>
    <row r="37" spans="1:8" ht="15" customHeight="1" x14ac:dyDescent="0.3">
      <c r="A37" s="34" t="s">
        <v>26</v>
      </c>
      <c r="B37" s="24" t="s">
        <v>27</v>
      </c>
      <c r="C37" s="12" t="s">
        <v>42</v>
      </c>
      <c r="D37" s="12" t="s">
        <v>28</v>
      </c>
      <c r="E37" s="12" t="s">
        <v>44</v>
      </c>
      <c r="F37" s="25">
        <v>15000</v>
      </c>
      <c r="G37" s="35">
        <f>F37</f>
        <v>15000</v>
      </c>
      <c r="H37" s="36" t="s">
        <v>13</v>
      </c>
    </row>
    <row r="38" spans="1:8" ht="15" customHeight="1" x14ac:dyDescent="0.3">
      <c r="A38" s="37"/>
      <c r="B38" s="24"/>
      <c r="C38" s="24"/>
      <c r="D38" s="12"/>
      <c r="E38" s="12"/>
      <c r="F38" s="25"/>
      <c r="G38" s="26"/>
      <c r="H38" s="38"/>
    </row>
    <row r="39" spans="1:8" ht="15" customHeight="1" x14ac:dyDescent="0.3">
      <c r="A39" s="53" t="s">
        <v>29</v>
      </c>
      <c r="B39" s="24" t="s">
        <v>39</v>
      </c>
      <c r="C39" s="24" t="s">
        <v>40</v>
      </c>
      <c r="D39" s="12" t="s">
        <v>41</v>
      </c>
      <c r="E39" s="12" t="s">
        <v>43</v>
      </c>
      <c r="F39" s="25">
        <v>5000</v>
      </c>
      <c r="G39" s="26">
        <f>F39</f>
        <v>5000</v>
      </c>
      <c r="H39" s="15" t="s">
        <v>13</v>
      </c>
    </row>
    <row r="40" spans="1:8" ht="15" customHeight="1" x14ac:dyDescent="0.3">
      <c r="A40" s="54"/>
      <c r="B40" s="16" t="s">
        <v>45</v>
      </c>
      <c r="C40" t="s">
        <v>46</v>
      </c>
      <c r="D40" s="12" t="s">
        <v>47</v>
      </c>
      <c r="E40" s="13">
        <v>1</v>
      </c>
      <c r="F40">
        <v>1000</v>
      </c>
      <c r="G40" s="26">
        <f t="shared" ref="G40" si="3">E40*F40</f>
        <v>1000</v>
      </c>
      <c r="H40" s="15" t="s">
        <v>13</v>
      </c>
    </row>
    <row r="41" spans="1:8" ht="15" customHeight="1" x14ac:dyDescent="0.3">
      <c r="A41" s="37"/>
      <c r="B41" s="55" t="s">
        <v>30</v>
      </c>
      <c r="C41" s="51"/>
      <c r="D41" s="51"/>
      <c r="E41" s="51"/>
      <c r="F41" s="51"/>
      <c r="G41" s="35">
        <f>G37-SUM(G39:G40)</f>
        <v>9000</v>
      </c>
      <c r="H41" s="36" t="s">
        <v>13</v>
      </c>
    </row>
    <row r="42" spans="1:8" ht="15" customHeight="1" x14ac:dyDescent="0.3">
      <c r="A42" s="37"/>
      <c r="B42" s="2"/>
      <c r="C42" s="2"/>
      <c r="D42" s="18"/>
      <c r="E42" s="18"/>
      <c r="F42" s="18"/>
      <c r="G42" s="39"/>
      <c r="H42" s="40"/>
    </row>
    <row r="43" spans="1:8" ht="15" customHeight="1" x14ac:dyDescent="0.3">
      <c r="A43" s="56" t="s">
        <v>31</v>
      </c>
      <c r="B43" s="51"/>
      <c r="C43" s="51"/>
      <c r="D43" s="51"/>
      <c r="E43" s="51"/>
      <c r="F43" s="51"/>
      <c r="G43" s="41"/>
      <c r="H43" s="41"/>
    </row>
    <row r="44" spans="1:8" ht="15" customHeight="1" x14ac:dyDescent="0.3">
      <c r="A44" s="50" t="s">
        <v>32</v>
      </c>
      <c r="B44" s="51"/>
      <c r="C44" s="51"/>
      <c r="D44" s="51"/>
      <c r="E44" s="51"/>
      <c r="F44" s="51"/>
      <c r="G44" s="51"/>
      <c r="H44" s="51"/>
    </row>
    <row r="45" spans="1:8" ht="15" customHeight="1" x14ac:dyDescent="0.3">
      <c r="A45" s="52" t="s">
        <v>33</v>
      </c>
      <c r="B45" s="51"/>
      <c r="C45" s="51"/>
      <c r="D45" s="51"/>
      <c r="E45" s="51"/>
      <c r="F45" s="51"/>
      <c r="G45" s="51"/>
      <c r="H45" s="51"/>
    </row>
    <row r="46" spans="1:8" ht="15" customHeight="1" x14ac:dyDescent="0.3"/>
    <row r="47" spans="1:8" ht="15" customHeight="1" x14ac:dyDescent="0.3"/>
    <row r="48" spans="1: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ht="15" customHeight="1" x14ac:dyDescent="0.3"/>
    <row r="66" ht="15" customHeight="1" x14ac:dyDescent="0.3"/>
    <row r="67" ht="15" customHeight="1" x14ac:dyDescent="0.3"/>
  </sheetData>
  <mergeCells count="23">
    <mergeCell ref="A1:H1"/>
    <mergeCell ref="A6:H6"/>
    <mergeCell ref="A11:H11"/>
    <mergeCell ref="B17:F17"/>
    <mergeCell ref="B18:F18"/>
    <mergeCell ref="B2:H2"/>
    <mergeCell ref="B3:H3"/>
    <mergeCell ref="B5:H5"/>
    <mergeCell ref="B16:F16"/>
    <mergeCell ref="B4:H4"/>
    <mergeCell ref="B26:F26"/>
    <mergeCell ref="B27:F27"/>
    <mergeCell ref="B28:F28"/>
    <mergeCell ref="B21:F21"/>
    <mergeCell ref="B31:F31"/>
    <mergeCell ref="A33:H33"/>
    <mergeCell ref="A34:H34"/>
    <mergeCell ref="A44:H44"/>
    <mergeCell ref="A45:H45"/>
    <mergeCell ref="A35:H35"/>
    <mergeCell ref="A39:A40"/>
    <mergeCell ref="B41:F41"/>
    <mergeCell ref="A43:F43"/>
  </mergeCells>
  <conditionalFormatting sqref="G21 G31">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Jacob Alger</cp:lastModifiedBy>
  <dcterms:created xsi:type="dcterms:W3CDTF">2026-02-20T21:34:05Z</dcterms:created>
  <dcterms:modified xsi:type="dcterms:W3CDTF">2026-03-07T00:00:58Z</dcterms:modified>
</cp:coreProperties>
</file>